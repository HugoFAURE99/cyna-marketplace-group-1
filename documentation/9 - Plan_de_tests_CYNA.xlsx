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c3d742b73e4c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ynthèse" sheetId="1" r:id="R989cace1cc2b4591"/>
    <x:sheet xmlns:r="http://schemas.openxmlformats.org/officeDocument/2006/relationships" name="Plan de tests" sheetId="2" r:id="R8a3b185355ab49aa"/>
    <x:sheet xmlns:r="http://schemas.openxmlformats.org/officeDocument/2006/relationships" name="Référentiels" sheetId="3" r:id="Re7dea45f301141ad"/>
    <x:sheet xmlns:r="http://schemas.openxmlformats.org/officeDocument/2006/relationships" name="Mode d'emploi" sheetId="4" r:id="R9fdf7568d7d348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%"/>
  </x:numFmts>
  <x:fonts count="8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26273"/>
      <x:name val="Carlito"/>
    </x:font>
    <x:font>
      <x:b/>
      <x:sz val="11"/>
      <x:color rgb="FFFFFFFF"/>
      <x:name val="Carlito"/>
    </x:font>
    <x:font>
      <x:sz val="9"/>
      <x:color rgb="FF1A1A24"/>
      <x:name val="Carlito"/>
    </x:font>
    <x:font>
      <x:b/>
      <x:sz val="9"/>
      <x:color rgb="FF302082"/>
      <x:name val="Carlito"/>
    </x:font>
    <x:font>
      <x:b/>
      <x:sz val="11"/>
      <x:color rgb="FF302082"/>
      <x:name val="Carlito"/>
    </x:font>
    <x:font>
      <x:b/>
      <x:sz val="14"/>
      <x:color rgb="FF302082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302082"/>
      </x:patternFill>
    </x:fill>
    <x:fill>
      <x:patternFill patternType="solid">
        <x:fgColor rgb="FFEEEAFB"/>
      </x:patternFill>
    </x:fill>
    <x:fill>
      <x:patternFill patternType="solid">
        <x:fgColor rgb="FF4A339E"/>
      </x:patternFill>
    </x:fill>
    <x:fill>
      <x:patternFill patternType="solid">
        <x:fgColor rgb="FFE8EEF5"/>
      </x:patternFill>
    </x:fill>
  </x:fills>
  <x:borders count="3">
    <x:border/>
    <x:border>
      <x:left style="thin">
        <x:color rgb="FFC9C5DB"/>
      </x:left>
      <x:right style="thin">
        <x:color rgb="FFC9C5DB"/>
      </x:right>
      <x:top style="thin">
        <x:color rgb="FFC9C5DB"/>
      </x:top>
      <x:bottom style="thin">
        <x:color rgb="FFC9C5DB"/>
      </x:bottom>
    </x:border>
    <x:border>
      <x:left style="thin">
        <x:color rgb="FFDEDCEA"/>
      </x:left>
      <x:right style="thin">
        <x:color rgb="FFDEDCEA"/>
      </x:right>
      <x:top style="thin">
        <x:color rgb="FFDEDCEA"/>
      </x:top>
      <x:bottom style="thin">
        <x:color rgb="FFDEDCEA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horizontal="center" vertical="top" wrapText="1"/>
    </x:xf>
    <x:xf numFmtId="0" fontId="4" fillId="0" borderId="2" xfId="0" applyNumberFormat="1" applyFont="1" applyFill="1" applyBorder="1" applyAlignment="1">
      <x:alignment horizontal="center" vertical="top" wrapText="1"/>
    </x:xf>
    <x:xf numFmtId="200" fontId="4" fillId="0" borderId="2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horizontal="center"/>
    </x:xf>
    <x:xf numFmtId="201" fontId="7" fillId="5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left"/>
    </x:xf>
  </x:cellXfs>
  <x:cellStyles count="1">
    <x:cellStyle name="Normal" xfId="0"/>
  </x:cellStyles>
  <x:dxfs count="4">
    <x:dxf>
      <x:font>
        <x:b/>
        <x:color rgb="FF116B3A"/>
      </x:font>
      <x:fill>
        <x:patternFill patternType="solid">
          <x:bgColor rgb="FFDFF3E7"/>
        </x:patternFill>
      </x:fill>
    </x:dxf>
    <x:dxf>
      <x:font>
        <x:b/>
        <x:color rgb="FFA11B1B"/>
      </x:font>
      <x:fill>
        <x:patternFill patternType="solid">
          <x:bgColor rgb="FFFDE2E2"/>
        </x:patternFill>
      </x:fill>
    </x:dxf>
    <x:dxf>
      <x:font>
        <x:b/>
        <x:color rgb="FF8A5A00"/>
      </x:font>
      <x:fill>
        <x:patternFill patternType="solid">
          <x:bgColor rgb="FFFFF0CC"/>
        </x:patternFill>
      </x:fill>
    </x:dxf>
    <x:dxf>
      <x:font>
        <x:color rgb="FF626273"/>
      </x:font>
      <x:fill>
        <x:patternFill patternType="solid">
          <x:bgColor rgb="FFF2F2F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a4e58ef3914b35" /><Relationship Type="http://schemas.openxmlformats.org/officeDocument/2006/relationships/theme" Target="/xl/theme/theme1.xml" Id="R0e74abfccb29497f" /><Relationship Type="http://schemas.openxmlformats.org/officeDocument/2006/relationships/sharedStrings" Target="/xl/sharedStrings.xml" Id="Rc402b698d4c84166" /><Relationship Type="http://schemas.openxmlformats.org/officeDocument/2006/relationships/worksheet" Target="/xl/worksheets/sheet1.xml" Id="R989cace1cc2b4591" /><Relationship Type="http://schemas.openxmlformats.org/officeDocument/2006/relationships/worksheet" Target="/xl/worksheets/sheet2.xml" Id="R8a3b185355ab49aa" /><Relationship Type="http://schemas.openxmlformats.org/officeDocument/2006/relationships/worksheet" Target="/xl/worksheets/sheet3.xml" Id="Re7dea45f301141ad" /><Relationship Type="http://schemas.openxmlformats.org/officeDocument/2006/relationships/worksheet" Target="/xl/worksheets/sheet4.xml" Id="R9fdf7568d7d34891" /></Relationships>
</file>

<file path=xl/tables/table1.xml><?xml version="1.0" encoding="utf-8"?>
<x:table xmlns:x="http://schemas.openxmlformats.org/spreadsheetml/2006/main" id="1" name="CynaTestPlan" displayName="CynaTestPlan" ref="A4:R84" headerRowCount="1" totalsRowCount="0" totalsRowShown="0">
  <x:tableColumns count="18">
    <x:tableColumn id="1" name="ID"/>
    <x:tableColumn id="2" name="Domaine"/>
    <x:tableColumn id="3" name="Fonctionnalité"/>
    <x:tableColumn id="4" name="Exigence / risque"/>
    <x:tableColumn id="5" name="Type"/>
    <x:tableColumn id="6" name="Priorité"/>
    <x:tableColumn id="7" name="Préconditions"/>
    <x:tableColumn id="8" name="Étapes"/>
    <x:tableColumn id="9" name="Données de test"/>
    <x:tableColumn id="10" name="Résultat attendu"/>
    <x:tableColumn id="11" name="Environnement"/>
    <x:tableColumn id="12" name="Exécuteur"/>
    <x:tableColumn id="13" name="Date"/>
    <x:tableColumn id="14" name="Statut"/>
    <x:tableColumn id="15" name="Résultat obtenu"/>
    <x:tableColumn id="16" name="Anomalie"/>
    <x:tableColumn id="17" name="Preuve"/>
    <x:tableColumn id="18" name="Commentair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8414400d614ef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9" hidden="0" customWidth="1"/>
    <x:col min="8" max="8" width="20" hidden="0" customWidth="1"/>
    <x:col min="9" max="9" width="44" hidden="0" customWidth="1"/>
    <x:col min="10" max="10" width="22" hidden="0" customWidth="1"/>
  </x:cols>
  <x:sheetData>
    <x:row r="1">
      <x:c r="A1" s="3" t="str">
        <x:v>SYNTHÈSE DE RECETTE CYNA</x:v>
      </x:c>
      <x:c r="B1" s="3"/>
      <x:c r="C1" s="3"/>
      <x:c r="D1" s="3"/>
      <x:c r="E1" s="3"/>
      <x:c r="F1" s="3"/>
      <x:c r="G1" s="3"/>
      <x:c r="H1" s="3"/>
    </x:row>
    <x:row r="2">
      <x:c r="A2" s="33" t="str">
        <x:v>Indicateurs calculés à partir des lignes du plan de tests. Compléter les statuts avant toute décision de release.</x:v>
      </x:c>
      <x:c r="B2" s="33"/>
      <x:c r="C2" s="33"/>
      <x:c r="D2" s="33"/>
      <x:c r="E2" s="33"/>
      <x:c r="F2" s="33"/>
      <x:c r="G2" s="33"/>
      <x:c r="H2" s="33"/>
    </x:row>
    <x:row r="4" ht="34" customHeight="1">
      <x:c r="A4" s="35" t="str">
        <x:v>Total</x:v>
      </x:c>
      <x:c r="B4" s="35" t="str">
        <x:v>À exécuter</x:v>
      </x:c>
      <x:c r="C4" s="35" t="str">
        <x:v>Réussis</x:v>
      </x:c>
      <x:c r="D4" s="35" t="str">
        <x:v>Échoués</x:v>
      </x:c>
      <x:c r="E4" s="35" t="str">
        <x:v>Bloqués</x:v>
      </x:c>
      <x:c r="F4" s="35" t="str">
        <x:v>Non applicables</x:v>
      </x:c>
      <x:c r="G4" s="35" t="str">
        <x:v>Taux de réussite</x:v>
      </x:c>
      <x:c r="H4" s="35" t="str">
        <x:v>Échecs critiques</x:v>
      </x:c>
    </x:row>
    <x:row r="5" ht="34" customHeight="1">
      <x:c r="A5" s="39" t="n">
        <x:f>COUNTA('Plan de tests'!A5:A250)</x:f>
        <x:v>80</x:v>
      </x:c>
      <x:c r="B5" s="39" t="n">
        <x:f>COUNTIF('Plan de tests'!N5:N250,"À exécuter")</x:f>
        <x:v>80</x:v>
      </x:c>
      <x:c r="C5" s="39" t="n">
        <x:f>COUNTIF('Plan de tests'!N5:N250,"Réussi")</x:f>
        <x:v>0</x:v>
      </x:c>
      <x:c r="D5" s="39" t="n">
        <x:f>COUNTIF('Plan de tests'!N5:N250,"Échoué")</x:f>
        <x:v>0</x:v>
      </x:c>
      <x:c r="E5" s="39" t="n">
        <x:f>COUNTIF('Plan de tests'!N5:N250,"Bloqué")</x:f>
        <x:v>0</x:v>
      </x:c>
      <x:c r="F5" s="39" t="n">
        <x:f>COUNTIF('Plan de tests'!N5:N250,"Non applicable")</x:f>
        <x:v>0</x:v>
      </x:c>
      <x:c r="G5" s="40" t="n">
        <x:f>IFERROR(C5/(C5+D5),0)</x:f>
        <x:v>0</x:v>
      </x:c>
      <x:c r="H5" s="39" t="n">
        <x:f>COUNTIFS('Plan de tests'!F5:F250,"Critique",'Plan de tests'!N5:N250,"Échoué")</x:f>
        <x:v>0</x:v>
      </x:c>
    </x:row>
    <x:row r="8">
      <x:c r="A8" s="42" t="str">
        <x:v>Domaine</x:v>
      </x:c>
      <x:c r="B8" s="42" t="str">
        <x:v>Total</x:v>
      </x:c>
      <x:c r="C8" s="42" t="str">
        <x:v>Réussis</x:v>
      </x:c>
      <x:c r="D8" s="42" t="str">
        <x:v>Échoués</x:v>
      </x:c>
      <x:c r="E8" s="42" t="str">
        <x:v>Bloqués</x:v>
      </x:c>
      <x:c r="F8" s="42" t="str">
        <x:v>À exécuter</x:v>
      </x:c>
      <x:c r="H8" s="29" t="str">
        <x:v>Décision</x:v>
      </x:c>
      <x:c r="I8" s="29" t="str">
        <x:v>Règle</x:v>
      </x:c>
      <x:c r="J8" s="29" t="str">
        <x:v>Valeur</x:v>
      </x:c>
    </x:row>
    <x:row r="9" ht="22" customHeight="1">
      <x:c r="A9" s="46" t="str">
        <x:v>Navigation</x:v>
      </x:c>
      <x:c r="B9" s="43" t="n">
        <x:f>COUNTIF('Plan de tests'!B$5:B$250,A9)</x:f>
        <x:v>6</x:v>
      </x:c>
      <x:c r="C9" s="43" t="n">
        <x:f>COUNTIFS('Plan de tests'!B$5:B$250,A9,'Plan de tests'!N$5:N$250,"Réussi")</x:f>
        <x:v>0</x:v>
      </x:c>
      <x:c r="D9" s="43" t="n">
        <x:f>COUNTIFS('Plan de tests'!B$5:B$250,A9,'Plan de tests'!N$5:N$250,"Échoué")</x:f>
        <x:v>0</x:v>
      </x:c>
      <x:c r="E9" s="43" t="n">
        <x:f>COUNTIFS('Plan de tests'!B$5:B$250,A9,'Plan de tests'!N$5:N$250,"Bloqué")</x:f>
        <x:v>0</x:v>
      </x:c>
      <x:c r="F9" s="43" t="n">
        <x:f>COUNTIFS('Plan de tests'!B$5:B$250,A9,'Plan de tests'!N$5:N$250,"À exécuter")</x:f>
        <x:v>6</x:v>
      </x:c>
      <x:c r="H9" s="32" t="str">
        <x:v>Go</x:v>
      </x:c>
      <x:c r="I9" s="30" t="str">
        <x:v>Aucun échec critique et aucun cas critique non exécuté</x:v>
      </x:c>
      <x:c r="J9" s="30" t="str">
        <x:v>À valider</x:v>
      </x:c>
    </x:row>
    <x:row r="10" ht="22" customHeight="1">
      <x:c r="A10" s="46" t="str">
        <x:v>Accessibilité</x:v>
      </x:c>
      <x:c r="B10" s="43" t="n">
        <x:f>COUNTIF('Plan de tests'!B$5:B$250,A10)</x:f>
        <x:v>3</x:v>
      </x:c>
      <x:c r="C10" s="43" t="n">
        <x:f>COUNTIFS('Plan de tests'!B$5:B$250,A10,'Plan de tests'!N$5:N$250,"Réussi")</x:f>
        <x:v>0</x:v>
      </x:c>
      <x:c r="D10" s="43" t="n">
        <x:f>COUNTIFS('Plan de tests'!B$5:B$250,A10,'Plan de tests'!N$5:N$250,"Échoué")</x:f>
        <x:v>0</x:v>
      </x:c>
      <x:c r="E10" s="43" t="n">
        <x:f>COUNTIFS('Plan de tests'!B$5:B$250,A10,'Plan de tests'!N$5:N$250,"Bloqué")</x:f>
        <x:v>0</x:v>
      </x:c>
      <x:c r="F10" s="43" t="n">
        <x:f>COUNTIFS('Plan de tests'!B$5:B$250,A10,'Plan de tests'!N$5:N$250,"À exécuter")</x:f>
        <x:v>3</x:v>
      </x:c>
      <x:c r="H10" s="32" t="str">
        <x:v>Go conditionnel</x:v>
      </x:c>
      <x:c r="I10" s="30" t="str">
        <x:v>Écarts non critiques acceptés et documentés</x:v>
      </x:c>
      <x:c r="J10" s="30" t="str">
        <x:v>À valider</x:v>
      </x:c>
    </x:row>
    <x:row r="11" ht="22" customHeight="1">
      <x:c r="A11" s="46" t="str">
        <x:v>Responsive</x:v>
      </x:c>
      <x:c r="B11" s="43" t="n">
        <x:f>COUNTIF('Plan de tests'!B$5:B$250,A11)</x:f>
        <x:v>3</x:v>
      </x:c>
      <x:c r="C11" s="43" t="n">
        <x:f>COUNTIFS('Plan de tests'!B$5:B$250,A11,'Plan de tests'!N$5:N$250,"Réussi")</x:f>
        <x:v>0</x:v>
      </x:c>
      <x:c r="D11" s="43" t="n">
        <x:f>COUNTIFS('Plan de tests'!B$5:B$250,A11,'Plan de tests'!N$5:N$250,"Échoué")</x:f>
        <x:v>0</x:v>
      </x:c>
      <x:c r="E11" s="43" t="n">
        <x:f>COUNTIFS('Plan de tests'!B$5:B$250,A11,'Plan de tests'!N$5:N$250,"Bloqué")</x:f>
        <x:v>0</x:v>
      </x:c>
      <x:c r="F11" s="43" t="n">
        <x:f>COUNTIFS('Plan de tests'!B$5:B$250,A11,'Plan de tests'!N$5:N$250,"À exécuter")</x:f>
        <x:v>3</x:v>
      </x:c>
      <x:c r="H11" s="32" t="str">
        <x:v>No-go</x:v>
      </x:c>
      <x:c r="I11" s="30" t="str">
        <x:v>Au moins un échec critique ou intégrité non garantie</x:v>
      </x:c>
      <x:c r="J11" s="30" t="str">
        <x:v>À valider</x:v>
      </x:c>
    </x:row>
    <x:row r="12" ht="22" customHeight="1">
      <x:c r="A12" s="46" t="str">
        <x:v>Authentification</x:v>
      </x:c>
      <x:c r="B12" s="43" t="n">
        <x:f>COUNTIF('Plan de tests'!B$5:B$250,A12)</x:f>
        <x:v>9</x:v>
      </x:c>
      <x:c r="C12" s="43" t="n">
        <x:f>COUNTIFS('Plan de tests'!B$5:B$250,A12,'Plan de tests'!N$5:N$250,"Réussi")</x:f>
        <x:v>0</x:v>
      </x:c>
      <x:c r="D12" s="43" t="n">
        <x:f>COUNTIFS('Plan de tests'!B$5:B$250,A12,'Plan de tests'!N$5:N$250,"Échoué")</x:f>
        <x:v>0</x:v>
      </x:c>
      <x:c r="E12" s="43" t="n">
        <x:f>COUNTIFS('Plan de tests'!B$5:B$250,A12,'Plan de tests'!N$5:N$250,"Bloqué")</x:f>
        <x:v>0</x:v>
      </x:c>
      <x:c r="F12" s="43" t="n">
        <x:f>COUNTIFS('Plan de tests'!B$5:B$250,A12,'Plan de tests'!N$5:N$250,"À exécuter")</x:f>
        <x:v>9</x:v>
      </x:c>
      <x:c r="H12" s="32" t="str">
        <x:v>Responsable</x:v>
      </x:c>
      <x:c r="I12" s="30" t="str">
        <x:v>Nom de l'approbateur de release</x:v>
      </x:c>
      <x:c r="J12" s="30" t="str"/>
    </x:row>
    <x:row r="13" ht="22" customHeight="1">
      <x:c r="A13" s="46" t="str">
        <x:v>Catalogue</x:v>
      </x:c>
      <x:c r="B13" s="43" t="n">
        <x:f>COUNTIF('Plan de tests'!B$5:B$250,A13)</x:f>
        <x:v>4</x:v>
      </x:c>
      <x:c r="C13" s="43" t="n">
        <x:f>COUNTIFS('Plan de tests'!B$5:B$250,A13,'Plan de tests'!N$5:N$250,"Réussi")</x:f>
        <x:v>0</x:v>
      </x:c>
      <x:c r="D13" s="43" t="n">
        <x:f>COUNTIFS('Plan de tests'!B$5:B$250,A13,'Plan de tests'!N$5:N$250,"Échoué")</x:f>
        <x:v>0</x:v>
      </x:c>
      <x:c r="E13" s="43" t="n">
        <x:f>COUNTIFS('Plan de tests'!B$5:B$250,A13,'Plan de tests'!N$5:N$250,"Bloqué")</x:f>
        <x:v>0</x:v>
      </x:c>
      <x:c r="F13" s="43" t="n">
        <x:f>COUNTIFS('Plan de tests'!B$5:B$250,A13,'Plan de tests'!N$5:N$250,"À exécuter")</x:f>
        <x:v>4</x:v>
      </x:c>
      <x:c r="H13" s="32" t="str">
        <x:v>Date</x:v>
      </x:c>
      <x:c r="I13" s="30" t="str">
        <x:v>Date de la décision</x:v>
      </x:c>
      <x:c r="J13" s="30" t="str"/>
    </x:row>
    <x:row r="14" ht="22" customHeight="1">
      <x:c r="A14" s="46" t="str">
        <x:v>Recherche</x:v>
      </x:c>
      <x:c r="B14" s="43" t="n">
        <x:f>COUNTIF('Plan de tests'!B$5:B$250,A14)</x:f>
        <x:v>2</x:v>
      </x:c>
      <x:c r="C14" s="43" t="n">
        <x:f>COUNTIFS('Plan de tests'!B$5:B$250,A14,'Plan de tests'!N$5:N$250,"Réussi")</x:f>
        <x:v>0</x:v>
      </x:c>
      <x:c r="D14" s="43" t="n">
        <x:f>COUNTIFS('Plan de tests'!B$5:B$250,A14,'Plan de tests'!N$5:N$250,"Échoué")</x:f>
        <x:v>0</x:v>
      </x:c>
      <x:c r="E14" s="43" t="n">
        <x:f>COUNTIFS('Plan de tests'!B$5:B$250,A14,'Plan de tests'!N$5:N$250,"Bloqué")</x:f>
        <x:v>0</x:v>
      </x:c>
      <x:c r="F14" s="43" t="n">
        <x:f>COUNTIFS('Plan de tests'!B$5:B$250,A14,'Plan de tests'!N$5:N$250,"À exécuter")</x:f>
        <x:v>2</x:v>
      </x:c>
    </x:row>
    <x:row r="15" ht="22" customHeight="1">
      <x:c r="A15" s="46" t="str">
        <x:v>Panier</x:v>
      </x:c>
      <x:c r="B15" s="43" t="n">
        <x:f>COUNTIF('Plan de tests'!B$5:B$250,A15)</x:f>
        <x:v>3</x:v>
      </x:c>
      <x:c r="C15" s="43" t="n">
        <x:f>COUNTIFS('Plan de tests'!B$5:B$250,A15,'Plan de tests'!N$5:N$250,"Réussi")</x:f>
        <x:v>0</x:v>
      </x:c>
      <x:c r="D15" s="43" t="n">
        <x:f>COUNTIFS('Plan de tests'!B$5:B$250,A15,'Plan de tests'!N$5:N$250,"Échoué")</x:f>
        <x:v>0</x:v>
      </x:c>
      <x:c r="E15" s="43" t="n">
        <x:f>COUNTIFS('Plan de tests'!B$5:B$250,A15,'Plan de tests'!N$5:N$250,"Bloqué")</x:f>
        <x:v>0</x:v>
      </x:c>
      <x:c r="F15" s="43" t="n">
        <x:f>COUNTIFS('Plan de tests'!B$5:B$250,A15,'Plan de tests'!N$5:N$250,"À exécuter")</x:f>
        <x:v>3</x:v>
      </x:c>
    </x:row>
    <x:row r="16" ht="22" customHeight="1">
      <x:c r="A16" s="46" t="str">
        <x:v>Checkout</x:v>
      </x:c>
      <x:c r="B16" s="43" t="n">
        <x:f>COUNTIF('Plan de tests'!B$5:B$250,A16)</x:f>
        <x:v>4</x:v>
      </x:c>
      <x:c r="C16" s="43" t="n">
        <x:f>COUNTIFS('Plan de tests'!B$5:B$250,A16,'Plan de tests'!N$5:N$250,"Réussi")</x:f>
        <x:v>0</x:v>
      </x:c>
      <x:c r="D16" s="43" t="n">
        <x:f>COUNTIFS('Plan de tests'!B$5:B$250,A16,'Plan de tests'!N$5:N$250,"Échoué")</x:f>
        <x:v>0</x:v>
      </x:c>
      <x:c r="E16" s="43" t="n">
        <x:f>COUNTIFS('Plan de tests'!B$5:B$250,A16,'Plan de tests'!N$5:N$250,"Bloqué")</x:f>
        <x:v>0</x:v>
      </x:c>
      <x:c r="F16" s="43" t="n">
        <x:f>COUNTIFS('Plan de tests'!B$5:B$250,A16,'Plan de tests'!N$5:N$250,"À exécuter")</x:f>
        <x:v>4</x:v>
      </x:c>
    </x:row>
    <x:row r="17" ht="22" customHeight="1">
      <x:c r="A17" s="46" t="str">
        <x:v>Stripe</x:v>
      </x:c>
      <x:c r="B17" s="43" t="n">
        <x:f>COUNTIF('Plan de tests'!B$5:B$250,A17)</x:f>
        <x:v>3</x:v>
      </x:c>
      <x:c r="C17" s="43" t="n">
        <x:f>COUNTIFS('Plan de tests'!B$5:B$250,A17,'Plan de tests'!N$5:N$250,"Réussi")</x:f>
        <x:v>0</x:v>
      </x:c>
      <x:c r="D17" s="43" t="n">
        <x:f>COUNTIFS('Plan de tests'!B$5:B$250,A17,'Plan de tests'!N$5:N$250,"Échoué")</x:f>
        <x:v>0</x:v>
      </x:c>
      <x:c r="E17" s="43" t="n">
        <x:f>COUNTIFS('Plan de tests'!B$5:B$250,A17,'Plan de tests'!N$5:N$250,"Bloqué")</x:f>
        <x:v>0</x:v>
      </x:c>
      <x:c r="F17" s="43" t="n">
        <x:f>COUNTIFS('Plan de tests'!B$5:B$250,A17,'Plan de tests'!N$5:N$250,"À exécuter")</x:f>
        <x:v>3</x:v>
      </x:c>
    </x:row>
    <x:row r="18" ht="22" customHeight="1">
      <x:c r="A18" s="46" t="str">
        <x:v>Espace client</x:v>
      </x:c>
      <x:c r="B18" s="43" t="n">
        <x:f>COUNTIF('Plan de tests'!B$5:B$250,A18)</x:f>
        <x:v>4</x:v>
      </x:c>
      <x:c r="C18" s="43" t="n">
        <x:f>COUNTIFS('Plan de tests'!B$5:B$250,A18,'Plan de tests'!N$5:N$250,"Réussi")</x:f>
        <x:v>0</x:v>
      </x:c>
      <x:c r="D18" s="43" t="n">
        <x:f>COUNTIFS('Plan de tests'!B$5:B$250,A18,'Plan de tests'!N$5:N$250,"Échoué")</x:f>
        <x:v>0</x:v>
      </x:c>
      <x:c r="E18" s="43" t="n">
        <x:f>COUNTIFS('Plan de tests'!B$5:B$250,A18,'Plan de tests'!N$5:N$250,"Bloqué")</x:f>
        <x:v>0</x:v>
      </x:c>
      <x:c r="F18" s="43" t="n">
        <x:f>COUNTIFS('Plan de tests'!B$5:B$250,A18,'Plan de tests'!N$5:N$250,"À exécuter")</x:f>
        <x:v>4</x:v>
      </x:c>
    </x:row>
    <x:row r="19" ht="22" customHeight="1">
      <x:c r="A19" s="46" t="str">
        <x:v>Abonnements</x:v>
      </x:c>
      <x:c r="B19" s="43" t="n">
        <x:f>COUNTIF('Plan de tests'!B$5:B$250,A19)</x:f>
        <x:v>1</x:v>
      </x:c>
      <x:c r="C19" s="43" t="n">
        <x:f>COUNTIFS('Plan de tests'!B$5:B$250,A19,'Plan de tests'!N$5:N$250,"Réussi")</x:f>
        <x:v>0</x:v>
      </x:c>
      <x:c r="D19" s="43" t="n">
        <x:f>COUNTIFS('Plan de tests'!B$5:B$250,A19,'Plan de tests'!N$5:N$250,"Échoué")</x:f>
        <x:v>0</x:v>
      </x:c>
      <x:c r="E19" s="43" t="n">
        <x:f>COUNTIFS('Plan de tests'!B$5:B$250,A19,'Plan de tests'!N$5:N$250,"Bloqué")</x:f>
        <x:v>0</x:v>
      </x:c>
      <x:c r="F19" s="43" t="n">
        <x:f>COUNTIFS('Plan de tests'!B$5:B$250,A19,'Plan de tests'!N$5:N$250,"À exécuter")</x:f>
        <x:v>1</x:v>
      </x:c>
    </x:row>
    <x:row r="20" ht="22" customHeight="1">
      <x:c r="A20" s="46" t="str">
        <x:v>Support</x:v>
      </x:c>
      <x:c r="B20" s="43" t="n">
        <x:f>COUNTIF('Plan de tests'!B$5:B$250,A20)</x:f>
        <x:v>2</x:v>
      </x:c>
      <x:c r="C20" s="43" t="n">
        <x:f>COUNTIFS('Plan de tests'!B$5:B$250,A20,'Plan de tests'!N$5:N$250,"Réussi")</x:f>
        <x:v>0</x:v>
      </x:c>
      <x:c r="D20" s="43" t="n">
        <x:f>COUNTIFS('Plan de tests'!B$5:B$250,A20,'Plan de tests'!N$5:N$250,"Échoué")</x:f>
        <x:v>0</x:v>
      </x:c>
      <x:c r="E20" s="43" t="n">
        <x:f>COUNTIFS('Plan de tests'!B$5:B$250,A20,'Plan de tests'!N$5:N$250,"Bloqué")</x:f>
        <x:v>0</x:v>
      </x:c>
      <x:c r="F20" s="43" t="n">
        <x:f>COUNTIFS('Plan de tests'!B$5:B$250,A20,'Plan de tests'!N$5:N$250,"À exécuter")</x:f>
        <x:v>2</x:v>
      </x:c>
    </x:row>
    <x:row r="21" ht="22" customHeight="1">
      <x:c r="A21" s="46" t="str">
        <x:v>CynAI</x:v>
      </x:c>
      <x:c r="B21" s="43" t="n">
        <x:f>COUNTIF('Plan de tests'!B$5:B$250,A21)</x:f>
        <x:v>8</x:v>
      </x:c>
      <x:c r="C21" s="43" t="n">
        <x:f>COUNTIFS('Plan de tests'!B$5:B$250,A21,'Plan de tests'!N$5:N$250,"Réussi")</x:f>
        <x:v>0</x:v>
      </x:c>
      <x:c r="D21" s="43" t="n">
        <x:f>COUNTIFS('Plan de tests'!B$5:B$250,A21,'Plan de tests'!N$5:N$250,"Échoué")</x:f>
        <x:v>0</x:v>
      </x:c>
      <x:c r="E21" s="43" t="n">
        <x:f>COUNTIFS('Plan de tests'!B$5:B$250,A21,'Plan de tests'!N$5:N$250,"Bloqué")</x:f>
        <x:v>0</x:v>
      </x:c>
      <x:c r="F21" s="43" t="n">
        <x:f>COUNTIFS('Plan de tests'!B$5:B$250,A21,'Plan de tests'!N$5:N$250,"À exécuter")</x:f>
        <x:v>8</x:v>
      </x:c>
    </x:row>
    <x:row r="22" ht="22" customHeight="1">
      <x:c r="A22" s="46" t="str">
        <x:v>BackOffice</x:v>
      </x:c>
      <x:c r="B22" s="43" t="n">
        <x:f>COUNTIF('Plan de tests'!B$5:B$250,A22)</x:f>
        <x:v>9</x:v>
      </x:c>
      <x:c r="C22" s="43" t="n">
        <x:f>COUNTIFS('Plan de tests'!B$5:B$250,A22,'Plan de tests'!N$5:N$250,"Réussi")</x:f>
        <x:v>0</x:v>
      </x:c>
      <x:c r="D22" s="43" t="n">
        <x:f>COUNTIFS('Plan de tests'!B$5:B$250,A22,'Plan de tests'!N$5:N$250,"Échoué")</x:f>
        <x:v>0</x:v>
      </x:c>
      <x:c r="E22" s="43" t="n">
        <x:f>COUNTIFS('Plan de tests'!B$5:B$250,A22,'Plan de tests'!N$5:N$250,"Bloqué")</x:f>
        <x:v>0</x:v>
      </x:c>
      <x:c r="F22" s="43" t="n">
        <x:f>COUNTIFS('Plan de tests'!B$5:B$250,A22,'Plan de tests'!N$5:N$250,"À exécuter")</x:f>
        <x:v>9</x:v>
      </x:c>
    </x:row>
    <x:row r="23" ht="22" customHeight="1">
      <x:c r="A23" s="46" t="str">
        <x:v>Sales</x:v>
      </x:c>
      <x:c r="B23" s="43" t="n">
        <x:f>COUNTIF('Plan de tests'!B$5:B$250,A23)</x:f>
        <x:v>8</x:v>
      </x:c>
      <x:c r="C23" s="43" t="n">
        <x:f>COUNTIFS('Plan de tests'!B$5:B$250,A23,'Plan de tests'!N$5:N$250,"Réussi")</x:f>
        <x:v>0</x:v>
      </x:c>
      <x:c r="D23" s="43" t="n">
        <x:f>COUNTIFS('Plan de tests'!B$5:B$250,A23,'Plan de tests'!N$5:N$250,"Échoué")</x:f>
        <x:v>0</x:v>
      </x:c>
      <x:c r="E23" s="43" t="n">
        <x:f>COUNTIFS('Plan de tests'!B$5:B$250,A23,'Plan de tests'!N$5:N$250,"Bloqué")</x:f>
        <x:v>0</x:v>
      </x:c>
      <x:c r="F23" s="43" t="n">
        <x:f>COUNTIFS('Plan de tests'!B$5:B$250,A23,'Plan de tests'!N$5:N$250,"À exécuter")</x:f>
        <x:v>8</x:v>
      </x:c>
    </x:row>
    <x:row r="24" ht="22" customHeight="1">
      <x:c r="A24" s="46" t="str">
        <x:v>PDF</x:v>
      </x:c>
      <x:c r="B24" s="43" t="n">
        <x:f>COUNTIF('Plan de tests'!B$5:B$250,A24)</x:f>
        <x:v>2</x:v>
      </x:c>
      <x:c r="C24" s="43" t="n">
        <x:f>COUNTIFS('Plan de tests'!B$5:B$250,A24,'Plan de tests'!N$5:N$250,"Réussi")</x:f>
        <x:v>0</x:v>
      </x:c>
      <x:c r="D24" s="43" t="n">
        <x:f>COUNTIFS('Plan de tests'!B$5:B$250,A24,'Plan de tests'!N$5:N$250,"Échoué")</x:f>
        <x:v>0</x:v>
      </x:c>
      <x:c r="E24" s="43" t="n">
        <x:f>COUNTIFS('Plan de tests'!B$5:B$250,A24,'Plan de tests'!N$5:N$250,"Bloqué")</x:f>
        <x:v>0</x:v>
      </x:c>
      <x:c r="F24" s="43" t="n">
        <x:f>COUNTIFS('Plan de tests'!B$5:B$250,A24,'Plan de tests'!N$5:N$250,"À exécuter")</x:f>
        <x:v>2</x:v>
      </x:c>
    </x:row>
    <x:row r="25" ht="22" customHeight="1">
      <x:c r="A25" s="46" t="str">
        <x:v>CI/CD</x:v>
      </x:c>
      <x:c r="B25" s="43" t="n">
        <x:f>COUNTIF('Plan de tests'!B$5:B$250,A25)</x:f>
        <x:v>3</x:v>
      </x:c>
      <x:c r="C25" s="43" t="n">
        <x:f>COUNTIFS('Plan de tests'!B$5:B$250,A25,'Plan de tests'!N$5:N$250,"Réussi")</x:f>
        <x:v>0</x:v>
      </x:c>
      <x:c r="D25" s="43" t="n">
        <x:f>COUNTIFS('Plan de tests'!B$5:B$250,A25,'Plan de tests'!N$5:N$250,"Échoué")</x:f>
        <x:v>0</x:v>
      </x:c>
      <x:c r="E25" s="43" t="n">
        <x:f>COUNTIFS('Plan de tests'!B$5:B$250,A25,'Plan de tests'!N$5:N$250,"Bloqué")</x:f>
        <x:v>0</x:v>
      </x:c>
      <x:c r="F25" s="43" t="n">
        <x:f>COUNTIFS('Plan de tests'!B$5:B$250,A25,'Plan de tests'!N$5:N$250,"À exécuter")</x:f>
        <x:v>3</x:v>
      </x:c>
    </x:row>
    <x:row r="26" ht="22" customHeight="1">
      <x:c r="A26" s="46" t="str">
        <x:v>Netlify</x:v>
      </x:c>
      <x:c r="B26" s="43" t="n">
        <x:f>COUNTIF('Plan de tests'!B$5:B$250,A26)</x:f>
        <x:v>3</x:v>
      </x:c>
      <x:c r="C26" s="43" t="n">
        <x:f>COUNTIFS('Plan de tests'!B$5:B$250,A26,'Plan de tests'!N$5:N$250,"Réussi")</x:f>
        <x:v>0</x:v>
      </x:c>
      <x:c r="D26" s="43" t="n">
        <x:f>COUNTIFS('Plan de tests'!B$5:B$250,A26,'Plan de tests'!N$5:N$250,"Échoué")</x:f>
        <x:v>0</x:v>
      </x:c>
      <x:c r="E26" s="43" t="n">
        <x:f>COUNTIFS('Plan de tests'!B$5:B$250,A26,'Plan de tests'!N$5:N$250,"Bloqué")</x:f>
        <x:v>0</x:v>
      </x:c>
      <x:c r="F26" s="43" t="n">
        <x:f>COUNTIFS('Plan de tests'!B$5:B$250,A26,'Plan de tests'!N$5:N$250,"À exécuter")</x:f>
        <x:v>3</x:v>
      </x:c>
    </x:row>
    <x:row r="27" ht="22" customHeight="1">
      <x:c r="A27" s="46" t="str">
        <x:v>Sentry</x:v>
      </x:c>
      <x:c r="B27" s="43" t="n">
        <x:f>COUNTIF('Plan de tests'!B$5:B$250,A27)</x:f>
        <x:v>2</x:v>
      </x:c>
      <x:c r="C27" s="43" t="n">
        <x:f>COUNTIFS('Plan de tests'!B$5:B$250,A27,'Plan de tests'!N$5:N$250,"Réussi")</x:f>
        <x:v>0</x:v>
      </x:c>
      <x:c r="D27" s="43" t="n">
        <x:f>COUNTIFS('Plan de tests'!B$5:B$250,A27,'Plan de tests'!N$5:N$250,"Échoué")</x:f>
        <x:v>0</x:v>
      </x:c>
      <x:c r="E27" s="43" t="n">
        <x:f>COUNTIFS('Plan de tests'!B$5:B$250,A27,'Plan de tests'!N$5:N$250,"Bloqué")</x:f>
        <x:v>0</x:v>
      </x:c>
      <x:c r="F27" s="43" t="n">
        <x:f>COUNTIFS('Plan de tests'!B$5:B$250,A27,'Plan de tests'!N$5:N$250,"À exécuter")</x:f>
        <x:v>2</x:v>
      </x:c>
    </x:row>
    <x:row r="28" ht="22" customHeight="1">
      <x:c r="A28" s="46" t="str">
        <x:v>Maintenance</x:v>
      </x:c>
      <x:c r="B28" s="43" t="n">
        <x:f>COUNTIF('Plan de tests'!B$5:B$250,A28)</x:f>
        <x:v>1</x:v>
      </x:c>
      <x:c r="C28" s="43" t="n">
        <x:f>COUNTIFS('Plan de tests'!B$5:B$250,A28,'Plan de tests'!N$5:N$250,"Réussi")</x:f>
        <x:v>0</x:v>
      </x:c>
      <x:c r="D28" s="43" t="n">
        <x:f>COUNTIFS('Plan de tests'!B$5:B$250,A28,'Plan de tests'!N$5:N$250,"Échoué")</x:f>
        <x:v>0</x:v>
      </x:c>
      <x:c r="E28" s="43" t="n">
        <x:f>COUNTIFS('Plan de tests'!B$5:B$250,A28,'Plan de tests'!N$5:N$250,"Bloqué")</x:f>
        <x:v>0</x:v>
      </x:c>
      <x:c r="F28" s="43" t="n">
        <x:f>COUNTIFS('Plan de tests'!B$5:B$250,A28,'Plan de tests'!N$5:N$250,"À exécuter")</x:f>
        <x:v>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4" hidden="0" customWidth="1"/>
    <x:col min="4" max="4" width="34" hidden="0" customWidth="1"/>
    <x:col min="5" max="5" width="18" hidden="0" customWidth="1"/>
    <x:col min="6" max="6" width="14" hidden="0" customWidth="1"/>
    <x:col min="7" max="7" width="32" hidden="0" customWidth="1"/>
    <x:col min="8" max="8" width="44" hidden="0" customWidth="1"/>
    <x:col min="9" max="9" width="28" hidden="0" customWidth="1"/>
    <x:col min="10" max="10" width="42" hidden="0" customWidth="1"/>
    <x:col min="11" max="11" width="20" hidden="0" customWidth="1"/>
    <x:col min="12" max="12" width="20" hidden="0" customWidth="1"/>
    <x:col min="13" max="13" width="14" hidden="0" customWidth="1"/>
    <x:col min="14" max="14" width="17" hidden="0" customWidth="1"/>
    <x:col min="15" max="15" width="38" hidden="0" customWidth="1"/>
    <x:col min="16" max="16" width="20" hidden="0" customWidth="1"/>
    <x:col min="17" max="17" width="24" hidden="0" customWidth="1"/>
    <x:col min="18" max="18" width="30" hidden="0" customWidth="1"/>
  </x:cols>
  <x:sheetData>
    <x:row r="1" ht="34" customHeight="1">
      <x:c r="A1" s="4" t="str">
        <x:v>PLAN DE TESTS CYNA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>
      <x:c r="A2" s="7" t="str">
        <x:v>Document à compléter pendant la recette. Les cellules blanches sont prévues pour l'exécution, les preuves et les anomalies.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6" customHeight="1">
      <x:c r="A4" s="13" t="str">
        <x:v>ID</x:v>
      </x:c>
      <x:c r="B4" s="13" t="str">
        <x:v>Domaine</x:v>
      </x:c>
      <x:c r="C4" s="13" t="str">
        <x:v>Fonctionnalité</x:v>
      </x:c>
      <x:c r="D4" s="13" t="str">
        <x:v>Exigence / risque</x:v>
      </x:c>
      <x:c r="E4" s="13" t="str">
        <x:v>Type</x:v>
      </x:c>
      <x:c r="F4" s="13" t="str">
        <x:v>Priorité</x:v>
      </x:c>
      <x:c r="G4" s="13" t="str">
        <x:v>Préconditions</x:v>
      </x:c>
      <x:c r="H4" s="13" t="str">
        <x:v>Étapes</x:v>
      </x:c>
      <x:c r="I4" s="13" t="str">
        <x:v>Données de test</x:v>
      </x:c>
      <x:c r="J4" s="13" t="str">
        <x:v>Résultat attendu</x:v>
      </x:c>
      <x:c r="K4" s="13" t="str">
        <x:v>Environnement</x:v>
      </x:c>
      <x:c r="L4" s="13" t="str">
        <x:v>Exécuteur</x:v>
      </x:c>
      <x:c r="M4" s="13" t="str">
        <x:v>Date</x:v>
      </x:c>
      <x:c r="N4" s="13" t="str">
        <x:v>Statut</x:v>
      </x:c>
      <x:c r="O4" s="13" t="str">
        <x:v>Résultat obtenu</x:v>
      </x:c>
      <x:c r="P4" s="13" t="str">
        <x:v>Anomalie</x:v>
      </x:c>
      <x:c r="Q4" s="13" t="str">
        <x:v>Preuve</x:v>
      </x:c>
      <x:c r="R4" s="13" t="str">
        <x:v>Commentaires</x:v>
      </x:c>
    </x:row>
    <x:row r="5" ht="74" customHeight="1">
      <x:c r="A5" s="20" t="str">
        <x:v>TC-001</x:v>
      </x:c>
      <x:c r="B5" s="17" t="str">
        <x:v>Navigation</x:v>
      </x:c>
      <x:c r="C5" s="17" t="str">
        <x:v>Accueil FR</x:v>
      </x:c>
      <x:c r="D5" s="17" t="str">
        <x:v>La page d'accueil française est disponible et cohérente.</x:v>
      </x:c>
      <x:c r="E5" s="17" t="str">
        <x:v>Fonctionnel</x:v>
      </x:c>
      <x:c r="F5" s="21" t="str">
        <x:v>Haute</x:v>
      </x:c>
      <x:c r="G5" s="17" t="str">
        <x:v>Déploiement accessible</x:v>
      </x:c>
      <x:c r="H5" s="17" t="str">
        <x:v>1. Ouvrir /fr. 2. Contrôler en-tête, contenu et pied de page. 3. Ouvrir un lien principal.</x:v>
      </x:c>
      <x:c r="I5" s="17" t="str">
        <x:v>URL Netlify</x:v>
      </x:c>
      <x:c r="J5" s="17" t="str">
        <x:v>Page sans erreur, textes FR, navigation fonctionnelle.</x:v>
      </x:c>
      <x:c r="K5" s="21" t="str">
        <x:v>Preview Netlify</x:v>
      </x:c>
      <x:c r="L5" s="21" t="str"/>
      <x:c r="M5" s="22"/>
      <x:c r="N5" s="21" t="str">
        <x:v>À exécuter</x:v>
      </x:c>
      <x:c r="O5" s="17" t="str"/>
      <x:c r="P5" s="17" t="str"/>
      <x:c r="Q5" s="17" t="str"/>
      <x:c r="R5" s="17" t="str"/>
    </x:row>
    <x:row r="6" ht="74" customHeight="1">
      <x:c r="A6" s="20" t="str">
        <x:v>TC-002</x:v>
      </x:c>
      <x:c r="B6" s="17" t="str">
        <x:v>Navigation</x:v>
      </x:c>
      <x:c r="C6" s="17" t="str">
        <x:v>Accueil EN</x:v>
      </x:c>
      <x:c r="D6" s="17" t="str">
        <x:v>La locale anglaise affiche les libellés et contenus traduits.</x:v>
      </x:c>
      <x:c r="E6" s="17" t="str">
        <x:v>Fonctionnel</x:v>
      </x:c>
      <x:c r="F6" s="21" t="str">
        <x:v>Haute</x:v>
      </x:c>
      <x:c r="G6" s="17" t="str">
        <x:v>Déploiement accessible</x:v>
      </x:c>
      <x:c r="H6" s="17" t="str">
        <x:v>1. Ouvrir /en. 2. Contrôler les zones principales. 3. Naviguer vers un produit.</x:v>
      </x:c>
      <x:c r="I6" s="17" t="str">
        <x:v>Locale en</x:v>
      </x:c>
      <x:c r="J6" s="17" t="str">
        <x:v>Aucun mélange FR injustifié, liens conservant /en.</x:v>
      </x:c>
      <x:c r="K6" s="21" t="str">
        <x:v>Preview Netlify</x:v>
      </x:c>
      <x:c r="L6" s="21" t="str"/>
      <x:c r="M6" s="22"/>
      <x:c r="N6" s="21" t="str">
        <x:v>À exécuter</x:v>
      </x:c>
      <x:c r="O6" s="17" t="str"/>
      <x:c r="P6" s="17" t="str"/>
      <x:c r="Q6" s="17" t="str"/>
      <x:c r="R6" s="17" t="str"/>
    </x:row>
    <x:row r="7" ht="74" customHeight="1">
      <x:c r="A7" s="20" t="str">
        <x:v>TC-003</x:v>
      </x:c>
      <x:c r="B7" s="17" t="str">
        <x:v>Navigation</x:v>
      </x:c>
      <x:c r="C7" s="17" t="str">
        <x:v>Changement de langue</x:v>
      </x:c>
      <x:c r="D7" s="17" t="str">
        <x:v>Le sélecteur conserve la page équivalente.</x:v>
      </x:c>
      <x:c r="E7" s="17" t="str">
        <x:v>Non-régression</x:v>
      </x:c>
      <x:c r="F7" s="21" t="str">
        <x:v>Moyenne</x:v>
      </x:c>
      <x:c r="G7" s="17" t="str">
        <x:v>Fiche produit existante dans les deux langues</x:v>
      </x:c>
      <x:c r="H7" s="17" t="str">
        <x:v>1. Ouvrir la fiche FR. 2. Passer en EN. 3. Revenir en FR.</x:v>
      </x:c>
      <x:c r="I7" s="17" t="str">
        <x:v>Produit traduit</x:v>
      </x:c>
      <x:c r="J7" s="17" t="str">
        <x:v>Même produit et locale correcte après chaque bascule.</x:v>
      </x:c>
      <x:c r="K7" s="21" t="str">
        <x:v>Preview Netlify</x:v>
      </x:c>
      <x:c r="L7" s="21" t="str"/>
      <x:c r="M7" s="22"/>
      <x:c r="N7" s="21" t="str">
        <x:v>À exécuter</x:v>
      </x:c>
      <x:c r="O7" s="17" t="str"/>
      <x:c r="P7" s="17" t="str"/>
      <x:c r="Q7" s="17" t="str"/>
      <x:c r="R7" s="17" t="str"/>
    </x:row>
    <x:row r="8" ht="74" customHeight="1">
      <x:c r="A8" s="20" t="str">
        <x:v>TC-004</x:v>
      </x:c>
      <x:c r="B8" s="17" t="str">
        <x:v>Navigation</x:v>
      </x:c>
      <x:c r="C8" s="17" t="str">
        <x:v>Liens gérés</x:v>
      </x:c>
      <x:c r="D8" s="17" t="str">
        <x:v>Les CTA de l'accueil ne pointent ni vers localhost ni vers une preview obsolète.</x:v>
      </x:c>
      <x:c r="E8" s="17" t="str">
        <x:v>Sécurité</x:v>
      </x:c>
      <x:c r="F8" s="21" t="str">
        <x:v>Haute</x:v>
      </x:c>
      <x:c r="G8" s="17" t="str">
        <x:v>Accueil publié</x:v>
      </x:c>
      <x:c r="H8" s="17" t="str">
        <x:v>1. Inspecter les CTA. 2. Ouvrir chaque lien géré. 3. Contrôler le domaine.</x:v>
      </x:c>
      <x:c r="I8" s="17" t="str">
        <x:v>Contenus BackOffice</x:v>
      </x:c>
      <x:c r="J8" s="17" t="str">
        <x:v>Liens HTTPS valides vers le domaine attendu.</x:v>
      </x:c>
      <x:c r="K8" s="21" t="str">
        <x:v>Production Netlify</x:v>
      </x:c>
      <x:c r="L8" s="21" t="str"/>
      <x:c r="M8" s="22"/>
      <x:c r="N8" s="21" t="str">
        <x:v>À exécuter</x:v>
      </x:c>
      <x:c r="O8" s="17" t="str"/>
      <x:c r="P8" s="17" t="str"/>
      <x:c r="Q8" s="17" t="str"/>
      <x:c r="R8" s="17" t="str"/>
    </x:row>
    <x:row r="9" ht="74" customHeight="1">
      <x:c r="A9" s="20" t="str">
        <x:v>TC-005</x:v>
      </x:c>
      <x:c r="B9" s="17" t="str">
        <x:v>Navigation</x:v>
      </x:c>
      <x:c r="C9" s="17" t="str">
        <x:v>Pages légales</x:v>
      </x:c>
      <x:c r="D9" s="17" t="str">
        <x:v>Les pages FAQ, à propos, mentions et conditions sont accessibles.</x:v>
      </x:c>
      <x:c r="E9" s="17" t="str">
        <x:v>Fonctionnel</x:v>
      </x:c>
      <x:c r="F9" s="21" t="str">
        <x:v>Moyenne</x:v>
      </x:c>
      <x:c r="G9" s="17" t="str">
        <x:v>Déploiement accessible</x:v>
      </x:c>
      <x:c r="H9" s="17" t="str">
        <x:v>1. Ouvrir chaque lien du pied de page. 2. Contrôler titre et contenu.</x:v>
      </x:c>
      <x:c r="I9" s="17" t="str">
        <x:v>FR et EN</x:v>
      </x:c>
      <x:c r="J9" s="17" t="str">
        <x:v>Code 200, contenu lisible et locale cohérente.</x:v>
      </x:c>
      <x:c r="K9" s="21" t="str">
        <x:v>Preview Netlify</x:v>
      </x:c>
      <x:c r="L9" s="21" t="str"/>
      <x:c r="M9" s="22"/>
      <x:c r="N9" s="21" t="str">
        <x:v>À exécuter</x:v>
      </x:c>
      <x:c r="O9" s="17" t="str"/>
      <x:c r="P9" s="17" t="str"/>
      <x:c r="Q9" s="17" t="str"/>
      <x:c r="R9" s="17" t="str"/>
    </x:row>
    <x:row r="10" ht="74" customHeight="1">
      <x:c r="A10" s="20" t="str">
        <x:v>TC-006</x:v>
      </x:c>
      <x:c r="B10" s="17" t="str">
        <x:v>Navigation</x:v>
      </x:c>
      <x:c r="C10" s="17" t="str">
        <x:v>Page inconnue</x:v>
      </x:c>
      <x:c r="D10" s="17" t="str">
        <x:v>Une URL inconnue ne révèle pas d'information technique.</x:v>
      </x:c>
      <x:c r="E10" s="17" t="str">
        <x:v>Sécurité</x:v>
      </x:c>
      <x:c r="F10" s="21" t="str">
        <x:v>Moyenne</x:v>
      </x:c>
      <x:c r="G10" s="17" t="str">
        <x:v>Déploiement accessible</x:v>
      </x:c>
      <x:c r="H10" s="17" t="str">
        <x:v>1. Ouvrir une URL inexistante. 2. Examiner l'écran et les journaux navigateur.</x:v>
      </x:c>
      <x:c r="I10" s="17" t="str">
        <x:v>/fr/route-inconnue-test</x:v>
      </x:c>
      <x:c r="J10" s="17" t="str">
        <x:v>Page d'erreur contrôlée, aucune stack trace ni secret.</x:v>
      </x:c>
      <x:c r="K10" s="21" t="str">
        <x:v>Preview Netlify</x:v>
      </x:c>
      <x:c r="L10" s="21" t="str"/>
      <x:c r="M10" s="22"/>
      <x:c r="N10" s="21" t="str">
        <x:v>À exécuter</x:v>
      </x:c>
      <x:c r="O10" s="17" t="str"/>
      <x:c r="P10" s="17" t="str"/>
      <x:c r="Q10" s="17" t="str"/>
      <x:c r="R10" s="17" t="str"/>
    </x:row>
    <x:row r="11" ht="74" customHeight="1">
      <x:c r="A11" s="20" t="str">
        <x:v>TC-007</x:v>
      </x:c>
      <x:c r="B11" s="17" t="str">
        <x:v>Accessibilité</x:v>
      </x:c>
      <x:c r="C11" s="17" t="str">
        <x:v>Navigation clavier</x:v>
      </x:c>
      <x:c r="D11" s="17" t="str">
        <x:v>Les actions principales sont atteignables et visibles au clavier.</x:v>
      </x:c>
      <x:c r="E11" s="17" t="str">
        <x:v>Accessibilité</x:v>
      </x:c>
      <x:c r="F11" s="21" t="str">
        <x:v>Haute</x:v>
      </x:c>
      <x:c r="G11" s="17" t="str">
        <x:v>Accueil chargé</x:v>
      </x:c>
      <x:c r="H11" s="17" t="str">
        <x:v>1. Utiliser Tab et Maj+Tab. 2. Activer menus et liens avec le clavier. 3. Vérifier le focus.</x:v>
      </x:c>
      <x:c r="I11" s="17" t="str">
        <x:v>Sans souris</x:v>
      </x:c>
      <x:c r="J11" s="17" t="str">
        <x:v>Ordre logique, focus visible, aucune zone bloquée.</x:v>
      </x:c>
      <x:c r="K11" s="21" t="str">
        <x:v>Preview Netlify</x:v>
      </x:c>
      <x:c r="L11" s="21" t="str"/>
      <x:c r="M11" s="22"/>
      <x:c r="N11" s="21" t="str">
        <x:v>À exécuter</x:v>
      </x:c>
      <x:c r="O11" s="17" t="str"/>
      <x:c r="P11" s="17" t="str"/>
      <x:c r="Q11" s="17" t="str"/>
      <x:c r="R11" s="17" t="str"/>
    </x:row>
    <x:row r="12" ht="74" customHeight="1">
      <x:c r="A12" s="20" t="str">
        <x:v>TC-008</x:v>
      </x:c>
      <x:c r="B12" s="17" t="str">
        <x:v>Accessibilité</x:v>
      </x:c>
      <x:c r="C12" s="17" t="str">
        <x:v>Zoom 200 %</x:v>
      </x:c>
      <x:c r="D12" s="17" t="str">
        <x:v>Le contenu reste lisible sans perte d'action.</x:v>
      </x:c>
      <x:c r="E12" s="17" t="str">
        <x:v>Accessibilité</x:v>
      </x:c>
      <x:c r="F12" s="21" t="str">
        <x:v>Haute</x:v>
      </x:c>
      <x:c r="G12" s="17" t="str">
        <x:v>Navigateur desktop</x:v>
      </x:c>
      <x:c r="H12" s="17" t="str">
        <x:v>1. Régler le zoom à 200 %. 2. Parcourir accueil, fiche, panier et formulaire.</x:v>
      </x:c>
      <x:c r="I12" s="17" t="str">
        <x:v>Zoom 200 %</x:v>
      </x:c>
      <x:c r="J12" s="17" t="str">
        <x:v>Pas de texte coupé ni de bouton inaccessible.</x:v>
      </x:c>
      <x:c r="K12" s="21" t="str">
        <x:v>Preview Netlify</x:v>
      </x:c>
      <x:c r="L12" s="21" t="str"/>
      <x:c r="M12" s="22"/>
      <x:c r="N12" s="21" t="str">
        <x:v>À exécuter</x:v>
      </x:c>
      <x:c r="O12" s="17" t="str"/>
      <x:c r="P12" s="17" t="str"/>
      <x:c r="Q12" s="17" t="str"/>
      <x:c r="R12" s="17" t="str"/>
    </x:row>
    <x:row r="13" ht="74" customHeight="1">
      <x:c r="A13" s="20" t="str">
        <x:v>TC-009</x:v>
      </x:c>
      <x:c r="B13" s="17" t="str">
        <x:v>Responsive</x:v>
      </x:c>
      <x:c r="C13" s="17" t="str">
        <x:v>Mobile 360 px</x:v>
      </x:c>
      <x:c r="D13" s="17" t="str">
        <x:v>Les parcours publics fonctionnent à 360 px.</x:v>
      </x:c>
      <x:c r="E13" s="17" t="str">
        <x:v>Responsive</x:v>
      </x:c>
      <x:c r="F13" s="21" t="str">
        <x:v>Haute</x:v>
      </x:c>
      <x:c r="G13" s="17" t="str">
        <x:v>Outils responsive</x:v>
      </x:c>
      <x:c r="H13" s="17" t="str">
        <x:v>1. Régler 360 px. 2. Tester menu, recherche, fiche, panier et inscription.</x:v>
      </x:c>
      <x:c r="I13" s="17" t="str">
        <x:v>360 x 800</x:v>
      </x:c>
      <x:c r="J13" s="17" t="str">
        <x:v>Pas de débordement horizontal, actions utilisables.</x:v>
      </x:c>
      <x:c r="K13" s="21" t="str">
        <x:v>Preview Netlify</x:v>
      </x:c>
      <x:c r="L13" s="21" t="str"/>
      <x:c r="M13" s="22"/>
      <x:c r="N13" s="21" t="str">
        <x:v>À exécuter</x:v>
      </x:c>
      <x:c r="O13" s="17" t="str"/>
      <x:c r="P13" s="17" t="str"/>
      <x:c r="Q13" s="17" t="str"/>
      <x:c r="R13" s="17" t="str"/>
    </x:row>
    <x:row r="14" ht="74" customHeight="1">
      <x:c r="A14" s="20" t="str">
        <x:v>TC-010</x:v>
      </x:c>
      <x:c r="B14" s="17" t="str">
        <x:v>Responsive</x:v>
      </x:c>
      <x:c r="C14" s="17" t="str">
        <x:v>Tablette 768 px</x:v>
      </x:c>
      <x:c r="D14" s="17" t="str">
        <x:v>La grille et les formulaires s'adaptent à 768 px.</x:v>
      </x:c>
      <x:c r="E14" s="17" t="str">
        <x:v>Responsive</x:v>
      </x:c>
      <x:c r="F14" s="21" t="str">
        <x:v>Moyenne</x:v>
      </x:c>
      <x:c r="G14" s="17" t="str">
        <x:v>Outils responsive</x:v>
      </x:c>
      <x:c r="H14" s="17" t="str">
        <x:v>1. Régler 768 px. 2. Ouvrir accueil, recherche et dashboard Sales.</x:v>
      </x:c>
      <x:c r="I14" s="17" t="str">
        <x:v>768 x 1024</x:v>
      </x:c>
      <x:c r="J14" s="17" t="str">
        <x:v>Mise en page stable, légendes lisibles.</x:v>
      </x:c>
      <x:c r="K14" s="21" t="str">
        <x:v>Preview Netlify</x:v>
      </x:c>
      <x:c r="L14" s="21" t="str"/>
      <x:c r="M14" s="22"/>
      <x:c r="N14" s="21" t="str">
        <x:v>À exécuter</x:v>
      </x:c>
      <x:c r="O14" s="17" t="str"/>
      <x:c r="P14" s="17" t="str"/>
      <x:c r="Q14" s="17" t="str"/>
      <x:c r="R14" s="17" t="str"/>
    </x:row>
    <x:row r="15" ht="74" customHeight="1">
      <x:c r="A15" s="20" t="str">
        <x:v>TC-011</x:v>
      </x:c>
      <x:c r="B15" s="17" t="str">
        <x:v>Responsive</x:v>
      </x:c>
      <x:c r="C15" s="17" t="str">
        <x:v>Desktop 1440 px</x:v>
      </x:c>
      <x:c r="D15" s="17" t="str">
        <x:v>Les zones larges exploitent l'espace sans étirement nuisible.</x:v>
      </x:c>
      <x:c r="E15" s="17" t="str">
        <x:v>Responsive</x:v>
      </x:c>
      <x:c r="F15" s="21" t="str">
        <x:v>Moyenne</x:v>
      </x:c>
      <x:c r="G15" s="17" t="str">
        <x:v>Outils responsive</x:v>
      </x:c>
      <x:c r="H15" s="17" t="str">
        <x:v>1. Régler 1440 px. 2. Contrôler contenu public et BackOffice.</x:v>
      </x:c>
      <x:c r="I15" s="17" t="str">
        <x:v>1440 x 900</x:v>
      </x:c>
      <x:c r="J15" s="17" t="str">
        <x:v>Alignements cohérents et tableaux exploitables.</x:v>
      </x:c>
      <x:c r="K15" s="21" t="str">
        <x:v>Preview Netlify</x:v>
      </x:c>
      <x:c r="L15" s="21" t="str"/>
      <x:c r="M15" s="22"/>
      <x:c r="N15" s="21" t="str">
        <x:v>À exécuter</x:v>
      </x:c>
      <x:c r="O15" s="17" t="str"/>
      <x:c r="P15" s="17" t="str"/>
      <x:c r="Q15" s="17" t="str"/>
      <x:c r="R15" s="17" t="str"/>
    </x:row>
    <x:row r="16" ht="74" customHeight="1">
      <x:c r="A16" s="20" t="str">
        <x:v>TC-012</x:v>
      </x:c>
      <x:c r="B16" s="17" t="str">
        <x:v>Accessibilité</x:v>
      </x:c>
      <x:c r="C16" s="17" t="str">
        <x:v>Graphiques Sales</x:v>
      </x:c>
      <x:c r="D16" s="17" t="str">
        <x:v>Les graphiques possèdent titres, légendes et résumés textuels.</x:v>
      </x:c>
      <x:c r="E16" s="17" t="str">
        <x:v>Accessibilité</x:v>
      </x:c>
      <x:c r="F16" s="21" t="str">
        <x:v>Haute</x:v>
      </x:c>
      <x:c r="G16" s="17" t="str">
        <x:v>Admin AAL2 et ventes de test</x:v>
      </x:c>
      <x:c r="H16" s="17" t="str">
        <x:v>1. Ouvrir Sales. 2. Naviguer au clavier. 3. Contrôler résumés et infobulles.</x:v>
      </x:c>
      <x:c r="I16" s="17" t="str">
        <x:v>7d et 5w</x:v>
      </x:c>
      <x:c r="J16" s="17" t="str">
        <x:v>Informations essentielles disponibles sans dépendre uniquement de la couleur.</x:v>
      </x:c>
      <x:c r="K16" s="21" t="str">
        <x:v>Preview Netlify</x:v>
      </x:c>
      <x:c r="L16" s="21" t="str"/>
      <x:c r="M16" s="22"/>
      <x:c r="N16" s="21" t="str">
        <x:v>À exécuter</x:v>
      </x:c>
      <x:c r="O16" s="17" t="str"/>
      <x:c r="P16" s="17" t="str"/>
      <x:c r="Q16" s="17" t="str"/>
      <x:c r="R16" s="17" t="str"/>
    </x:row>
    <x:row r="17" ht="74" customHeight="1">
      <x:c r="A17" s="20" t="str">
        <x:v>TC-013</x:v>
      </x:c>
      <x:c r="B17" s="17" t="str">
        <x:v>Authentification</x:v>
      </x:c>
      <x:c r="C17" s="17" t="str">
        <x:v>Inscription valide</x:v>
      </x:c>
      <x:c r="D17" s="17" t="str">
        <x:v>Un visiteur crée un compte avec un mot de passe de huit caractères ou plus.</x:v>
      </x:c>
      <x:c r="E17" s="17" t="str">
        <x:v>Fonctionnel</x:v>
      </x:c>
      <x:c r="F17" s="21" t="str">
        <x:v>Critique</x:v>
      </x:c>
      <x:c r="G17" s="17" t="str">
        <x:v>Adresse e-mail de test neuve</x:v>
      </x:c>
      <x:c r="H17" s="17" t="str">
        <x:v>1. Ouvrir l'inscription. 2. Saisir des valeurs valides. 3. Valider une fois.</x:v>
      </x:c>
      <x:c r="I17" s="17" t="str">
        <x:v>Mot de passe 8+ caractères</x:v>
      </x:c>
      <x:c r="J17" s="17" t="str">
        <x:v>Une seule notification d'envoi, aucun faux rejet de longueur.</x:v>
      </x:c>
      <x:c r="K17" s="21" t="str">
        <x:v>Preview Netlify</x:v>
      </x:c>
      <x:c r="L17" s="21" t="str"/>
      <x:c r="M17" s="22"/>
      <x:c r="N17" s="21" t="str">
        <x:v>À exécuter</x:v>
      </x:c>
      <x:c r="O17" s="17" t="str"/>
      <x:c r="P17" s="17" t="str"/>
      <x:c r="Q17" s="17" t="str"/>
      <x:c r="R17" s="17" t="str"/>
    </x:row>
    <x:row r="18" ht="74" customHeight="1">
      <x:c r="A18" s="20" t="str">
        <x:v>TC-014</x:v>
      </x:c>
      <x:c r="B18" s="17" t="str">
        <x:v>Authentification</x:v>
      </x:c>
      <x:c r="C18" s="17" t="str">
        <x:v>Mot de passe court</x:v>
      </x:c>
      <x:c r="D18" s="17" t="str">
        <x:v>Un mot de passe de moins de huit caractères est refusé.</x:v>
      </x:c>
      <x:c r="E18" s="17" t="str">
        <x:v>Sécurité</x:v>
      </x:c>
      <x:c r="F18" s="21" t="str">
        <x:v>Haute</x:v>
      </x:c>
      <x:c r="G18" s="17" t="str">
        <x:v>Formulaire d'inscription</x:v>
      </x:c>
      <x:c r="H18" s="17" t="str">
        <x:v>1. Saisir un mot de passe court. 2. Confirmer. 3. Valider.</x:v>
      </x:c>
      <x:c r="I18" s="17" t="str">
        <x:v>7 caractères</x:v>
      </x:c>
      <x:c r="J18" s="17" t="str">
        <x:v>Validation explicite, aucun compte créé.</x:v>
      </x:c>
      <x:c r="K18" s="21" t="str">
        <x:v>Preview Netlify</x:v>
      </x:c>
      <x:c r="L18" s="21" t="str"/>
      <x:c r="M18" s="22"/>
      <x:c r="N18" s="21" t="str">
        <x:v>À exécuter</x:v>
      </x:c>
      <x:c r="O18" s="17" t="str"/>
      <x:c r="P18" s="17" t="str"/>
      <x:c r="Q18" s="17" t="str"/>
      <x:c r="R18" s="17" t="str"/>
    </x:row>
    <x:row r="19" ht="74" customHeight="1">
      <x:c r="A19" s="20" t="str">
        <x:v>TC-015</x:v>
      </x:c>
      <x:c r="B19" s="17" t="str">
        <x:v>Authentification</x:v>
      </x:c>
      <x:c r="C19" s="17" t="str">
        <x:v>Confirmation différente</x:v>
      </x:c>
      <x:c r="D19" s="17" t="str">
        <x:v>La confirmation du mot de passe doit correspondre.</x:v>
      </x:c>
      <x:c r="E19" s="17" t="str">
        <x:v>Fonctionnel</x:v>
      </x:c>
      <x:c r="F19" s="21" t="str">
        <x:v>Haute</x:v>
      </x:c>
      <x:c r="G19" s="17" t="str">
        <x:v>Formulaire d'inscription</x:v>
      </x:c>
      <x:c r="H19" s="17" t="str">
        <x:v>1. Saisir deux valeurs différentes. 2. Valider.</x:v>
      </x:c>
      <x:c r="I19" s="17" t="str">
        <x:v>Deux mots de passe</x:v>
      </x:c>
      <x:c r="J19" s="17" t="str">
        <x:v>Erreur locale claire, aucune requête d'inscription valide.</x:v>
      </x:c>
      <x:c r="K19" s="21" t="str">
        <x:v>Preview Netlify</x:v>
      </x:c>
      <x:c r="L19" s="21" t="str"/>
      <x:c r="M19" s="22"/>
      <x:c r="N19" s="21" t="str">
        <x:v>À exécuter</x:v>
      </x:c>
      <x:c r="O19" s="17" t="str"/>
      <x:c r="P19" s="17" t="str"/>
      <x:c r="Q19" s="17" t="str"/>
      <x:c r="R19" s="17" t="str"/>
    </x:row>
    <x:row r="20" ht="74" customHeight="1">
      <x:c r="A20" s="20" t="str">
        <x:v>TC-016</x:v>
      </x:c>
      <x:c r="B20" s="17" t="str">
        <x:v>Authentification</x:v>
      </x:c>
      <x:c r="C20" s="17" t="str">
        <x:v>Confirmation e-mail</x:v>
      </x:c>
      <x:c r="D20" s="17" t="str">
        <x:v>Le callback active le compte et n'affiche pas de lien invalide après succès.</x:v>
      </x:c>
      <x:c r="E20" s="17" t="str">
        <x:v>Intégration</x:v>
      </x:c>
      <x:c r="F20" s="21" t="str">
        <x:v>Critique</x:v>
      </x:c>
      <x:c r="G20" s="17" t="str">
        <x:v>Inscription réussie et e-mail reçu</x:v>
      </x:c>
      <x:c r="H20" s="17" t="str">
        <x:v>1. Cliquer le lien une fois. 2. Observer la redirection. 3. Se connecter.</x:v>
      </x:c>
      <x:c r="I20" s="17" t="str">
        <x:v>Lien Supabase frais</x:v>
      </x:c>
      <x:c r="J20" s="17" t="str">
        <x:v>Compte activé, message cohérent, connexion possible.</x:v>
      </x:c>
      <x:c r="K20" s="21" t="str">
        <x:v>Preview Netlify</x:v>
      </x:c>
      <x:c r="L20" s="21" t="str"/>
      <x:c r="M20" s="22"/>
      <x:c r="N20" s="21" t="str">
        <x:v>À exécuter</x:v>
      </x:c>
      <x:c r="O20" s="17" t="str"/>
      <x:c r="P20" s="17" t="str"/>
      <x:c r="Q20" s="17" t="str"/>
      <x:c r="R20" s="17" t="str"/>
    </x:row>
    <x:row r="21" ht="74" customHeight="1">
      <x:c r="A21" s="20" t="str">
        <x:v>TC-017</x:v>
      </x:c>
      <x:c r="B21" s="17" t="str">
        <x:v>Authentification</x:v>
      </x:c>
      <x:c r="C21" s="17" t="str">
        <x:v>Lien consommé</x:v>
      </x:c>
      <x:c r="D21" s="17" t="str">
        <x:v>Un lien déjà utilisé produit une réponse sûre.</x:v>
      </x:c>
      <x:c r="E21" s="17" t="str">
        <x:v>Sécurité</x:v>
      </x:c>
      <x:c r="F21" s="21" t="str">
        <x:v>Moyenne</x:v>
      </x:c>
      <x:c r="G21" s="17" t="str">
        <x:v>Compte déjà confirmé</x:v>
      </x:c>
      <x:c r="H21" s="17" t="str">
        <x:v>1. Réouvrir le lien consommé. 2. Observer le message. 3. Tenter une connexion normale.</x:v>
      </x:c>
      <x:c r="I21" s="17" t="str">
        <x:v>Ancien callback</x:v>
      </x:c>
      <x:c r="J21" s="17" t="str">
        <x:v>Aucune stack, compte toujours actif, aide compréhensible.</x:v>
      </x:c>
      <x:c r="K21" s="21" t="str">
        <x:v>Preview Netlify</x:v>
      </x:c>
      <x:c r="L21" s="21" t="str"/>
      <x:c r="M21" s="22"/>
      <x:c r="N21" s="21" t="str">
        <x:v>À exécuter</x:v>
      </x:c>
      <x:c r="O21" s="17" t="str"/>
      <x:c r="P21" s="17" t="str"/>
      <x:c r="Q21" s="17" t="str"/>
      <x:c r="R21" s="17" t="str"/>
    </x:row>
    <x:row r="22" ht="74" customHeight="1">
      <x:c r="A22" s="20" t="str">
        <x:v>TC-018</x:v>
      </x:c>
      <x:c r="B22" s="17" t="str">
        <x:v>Authentification</x:v>
      </x:c>
      <x:c r="C22" s="17" t="str">
        <x:v>Connexion valide</x:v>
      </x:c>
      <x:c r="D22" s="17" t="str">
        <x:v>Un client actif ouvre une session et accède à son espace.</x:v>
      </x:c>
      <x:c r="E22" s="17" t="str">
        <x:v>Fonctionnel</x:v>
      </x:c>
      <x:c r="F22" s="21" t="str">
        <x:v>Critique</x:v>
      </x:c>
      <x:c r="G22" s="17" t="str">
        <x:v>Compte client actif</x:v>
      </x:c>
      <x:c r="H22" s="17" t="str">
        <x:v>1. Saisir e-mail et mot de passe. 2. Valider. 3. Ouvrir l'espace client.</x:v>
      </x:c>
      <x:c r="I22" s="17" t="str">
        <x:v>Compte test</x:v>
      </x:c>
      <x:c r="J22" s="17" t="str">
        <x:v>Session créée et données du bon compte.</x:v>
      </x:c>
      <x:c r="K22" s="21" t="str">
        <x:v>Preview Netlify</x:v>
      </x:c>
      <x:c r="L22" s="21" t="str"/>
      <x:c r="M22" s="22"/>
      <x:c r="N22" s="21" t="str">
        <x:v>À exécuter</x:v>
      </x:c>
      <x:c r="O22" s="17" t="str"/>
      <x:c r="P22" s="17" t="str"/>
      <x:c r="Q22" s="17" t="str"/>
      <x:c r="R22" s="17" t="str"/>
    </x:row>
    <x:row r="23" ht="74" customHeight="1">
      <x:c r="A23" s="20" t="str">
        <x:v>TC-019</x:v>
      </x:c>
      <x:c r="B23" s="17" t="str">
        <x:v>Authentification</x:v>
      </x:c>
      <x:c r="C23" s="17" t="str">
        <x:v>Connexion refusée</x:v>
      </x:c>
      <x:c r="D23" s="17" t="str">
        <x:v>Des identifiants invalides n'ouvrent aucune session.</x:v>
      </x:c>
      <x:c r="E23" s="17" t="str">
        <x:v>Sécurité</x:v>
      </x:c>
      <x:c r="F23" s="21" t="str">
        <x:v>Critique</x:v>
      </x:c>
      <x:c r="G23" s="17" t="str">
        <x:v>Compte test</x:v>
      </x:c>
      <x:c r="H23" s="17" t="str">
        <x:v>1. Saisir un mauvais mot de passe. 2. Valider. 3. Actualiser.</x:v>
      </x:c>
      <x:c r="I23" s="17" t="str">
        <x:v>Mot de passe erroné</x:v>
      </x:c>
      <x:c r="J23" s="17" t="str">
        <x:v>Message non bavard et session absente.</x:v>
      </x:c>
      <x:c r="K23" s="21" t="str">
        <x:v>Preview Netlify</x:v>
      </x:c>
      <x:c r="L23" s="21" t="str"/>
      <x:c r="M23" s="22"/>
      <x:c r="N23" s="21" t="str">
        <x:v>À exécuter</x:v>
      </x:c>
      <x:c r="O23" s="17" t="str"/>
      <x:c r="P23" s="17" t="str"/>
      <x:c r="Q23" s="17" t="str"/>
      <x:c r="R23" s="17" t="str"/>
    </x:row>
    <x:row r="24" ht="74" customHeight="1">
      <x:c r="A24" s="20" t="str">
        <x:v>TC-020</x:v>
      </x:c>
      <x:c r="B24" s="17" t="str">
        <x:v>Authentification</x:v>
      </x:c>
      <x:c r="C24" s="17" t="str">
        <x:v>Récupération</x:v>
      </x:c>
      <x:c r="D24" s="17" t="str">
        <x:v>Le lien de récupération permet de changer le mot de passe.</x:v>
      </x:c>
      <x:c r="E24" s="17" t="str">
        <x:v>Intégration</x:v>
      </x:c>
      <x:c r="F24" s="21" t="str">
        <x:v>Haute</x:v>
      </x:c>
      <x:c r="G24" s="17" t="str">
        <x:v>Compte et boîte de test</x:v>
      </x:c>
      <x:c r="H24" s="17" t="str">
        <x:v>1. Demander le lien. 2. L'ouvrir. 3. Définir une nouvelle valeur. 4. Se connecter.</x:v>
      </x:c>
      <x:c r="I24" s="17" t="str">
        <x:v>Mot de passe neuf</x:v>
      </x:c>
      <x:c r="J24" s="17" t="str">
        <x:v>Ancien mot de passe refusé, nouveau accepté.</x:v>
      </x:c>
      <x:c r="K24" s="21" t="str">
        <x:v>Preview Netlify</x:v>
      </x:c>
      <x:c r="L24" s="21" t="str"/>
      <x:c r="M24" s="22"/>
      <x:c r="N24" s="21" t="str">
        <x:v>À exécuter</x:v>
      </x:c>
      <x:c r="O24" s="17" t="str"/>
      <x:c r="P24" s="17" t="str"/>
      <x:c r="Q24" s="17" t="str"/>
      <x:c r="R24" s="17" t="str"/>
    </x:row>
    <x:row r="25" ht="74" customHeight="1">
      <x:c r="A25" s="20" t="str">
        <x:v>TC-021</x:v>
      </x:c>
      <x:c r="B25" s="17" t="str">
        <x:v>Authentification</x:v>
      </x:c>
      <x:c r="C25" s="17" t="str">
        <x:v>MFA administrateur</x:v>
      </x:c>
      <x:c r="D25" s="17" t="str">
        <x:v>Le BackOffice exige une session AAL2.</x:v>
      </x:c>
      <x:c r="E25" s="17" t="str">
        <x:v>Sécurité</x:v>
      </x:c>
      <x:c r="F25" s="21" t="str">
        <x:v>Critique</x:v>
      </x:c>
      <x:c r="G25" s="17" t="str">
        <x:v>Compte admin actif avec TOTP</x:v>
      </x:c>
      <x:c r="H25" s="17" t="str">
        <x:v>1. Se connecter. 2. Tenter /fr/admin avant TOTP. 3. Valider le TOTP. 4. Réessayer.</x:v>
      </x:c>
      <x:c r="I25" s="17" t="str">
        <x:v>Code TOTP valide</x:v>
      </x:c>
      <x:c r="J25" s="17" t="str">
        <x:v>Redirection avant AAL2, accès après AAL2.</x:v>
      </x:c>
      <x:c r="K25" s="21" t="str">
        <x:v>Preview Netlify</x:v>
      </x:c>
      <x:c r="L25" s="21" t="str"/>
      <x:c r="M25" s="22"/>
      <x:c r="N25" s="21" t="str">
        <x:v>À exécuter</x:v>
      </x:c>
      <x:c r="O25" s="17" t="str"/>
      <x:c r="P25" s="17" t="str"/>
      <x:c r="Q25" s="17" t="str"/>
      <x:c r="R25" s="17" t="str"/>
    </x:row>
    <x:row r="26" ht="74" customHeight="1">
      <x:c r="A26" s="20" t="str">
        <x:v>TC-022</x:v>
      </x:c>
      <x:c r="B26" s="17" t="str">
        <x:v>Catalogue</x:v>
      </x:c>
      <x:c r="C26" s="17" t="str">
        <x:v>Liste active</x:v>
      </x:c>
      <x:c r="D26" s="17" t="str">
        <x:v>Seuls les produits publiés sont visibles publiquement.</x:v>
      </x:c>
      <x:c r="E26" s="17" t="str">
        <x:v>Fonctionnel</x:v>
      </x:c>
      <x:c r="F26" s="21" t="str">
        <x:v>Haute</x:v>
      </x:c>
      <x:c r="G26" s="17" t="str">
        <x:v>Produits actifs et inactifs en base</x:v>
      </x:c>
      <x:c r="H26" s="17" t="str">
        <x:v>1. Ouvrir l'accueil et une catégorie. 2. Comparer avec le BackOffice.</x:v>
      </x:c>
      <x:c r="I26" s="17" t="str">
        <x:v>Jeu mixte</x:v>
      </x:c>
      <x:c r="J26" s="17" t="str">
        <x:v>Produits inactifs absents, actifs consultables.</x:v>
      </x:c>
      <x:c r="K26" s="21" t="str">
        <x:v>Preview Netlify</x:v>
      </x:c>
      <x:c r="L26" s="21" t="str"/>
      <x:c r="M26" s="22"/>
      <x:c r="N26" s="21" t="str">
        <x:v>À exécuter</x:v>
      </x:c>
      <x:c r="O26" s="17" t="str"/>
      <x:c r="P26" s="17" t="str"/>
      <x:c r="Q26" s="17" t="str"/>
      <x:c r="R26" s="17" t="str"/>
    </x:row>
    <x:row r="27" ht="74" customHeight="1">
      <x:c r="A27" s="20" t="str">
        <x:v>TC-023</x:v>
      </x:c>
      <x:c r="B27" s="17" t="str">
        <x:v>Catalogue</x:v>
      </x:c>
      <x:c r="C27" s="17" t="str">
        <x:v>Fiche produit</x:v>
      </x:c>
      <x:c r="D27" s="17" t="str">
        <x:v>La fiche affiche traduction, disponibilité, images et tarifs cohérents.</x:v>
      </x:c>
      <x:c r="E27" s="17" t="str">
        <x:v>Fonctionnel</x:v>
      </x:c>
      <x:c r="F27" s="21" t="str">
        <x:v>Haute</x:v>
      </x:c>
      <x:c r="G27" s="17" t="str">
        <x:v>Produit complet</x:v>
      </x:c>
      <x:c r="H27" s="17" t="str">
        <x:v>1. Ouvrir en FR puis EN. 2. Changer la périodicité. 3. Modifier les utilisateurs.</x:v>
      </x:c>
      <x:c r="I27" s="17" t="str">
        <x:v>Produit mensuel et annuel</x:v>
      </x:c>
      <x:c r="J27" s="17" t="str">
        <x:v>Prix recalculé, textes et images corrects.</x:v>
      </x:c>
      <x:c r="K27" s="21" t="str">
        <x:v>Preview Netlify</x:v>
      </x:c>
      <x:c r="L27" s="21" t="str"/>
      <x:c r="M27" s="22"/>
      <x:c r="N27" s="21" t="str">
        <x:v>À exécuter</x:v>
      </x:c>
      <x:c r="O27" s="17" t="str"/>
      <x:c r="P27" s="17" t="str"/>
      <x:c r="Q27" s="17" t="str"/>
      <x:c r="R27" s="17" t="str"/>
    </x:row>
    <x:row r="28" ht="74" customHeight="1">
      <x:c r="A28" s="20" t="str">
        <x:v>TC-024</x:v>
      </x:c>
      <x:c r="B28" s="17" t="str">
        <x:v>Catalogue</x:v>
      </x:c>
      <x:c r="C28" s="17" t="str">
        <x:v>Produit sur devis</x:v>
      </x:c>
      <x:c r="D28" s="17" t="str">
        <x:v>Un produit non achetable n'ouvre pas de checkout.</x:v>
      </x:c>
      <x:c r="E28" s="17" t="str">
        <x:v>Sécurité</x:v>
      </x:c>
      <x:c r="F28" s="21" t="str">
        <x:v>Haute</x:v>
      </x:c>
      <x:c r="G28" s="17" t="str">
        <x:v>Produit configuré sur devis</x:v>
      </x:c>
      <x:c r="H28" s="17" t="str">
        <x:v>1. Ouvrir la fiche. 2. Examiner les actions. 3. Tenter une ancienne URL si disponible.</x:v>
      </x:c>
      <x:c r="I28" s="17" t="str">
        <x:v>Produit contact sales</x:v>
      </x:c>
      <x:c r="J28" s="17" t="str">
        <x:v>Action de contact, refus serveur d'un checkout direct.</x:v>
      </x:c>
      <x:c r="K28" s="21" t="str">
        <x:v>Preview Netlify</x:v>
      </x:c>
      <x:c r="L28" s="21" t="str"/>
      <x:c r="M28" s="22"/>
      <x:c r="N28" s="21" t="str">
        <x:v>À exécuter</x:v>
      </x:c>
      <x:c r="O28" s="17" t="str"/>
      <x:c r="P28" s="17" t="str"/>
      <x:c r="Q28" s="17" t="str"/>
      <x:c r="R28" s="17" t="str"/>
    </x:row>
    <x:row r="29" ht="74" customHeight="1">
      <x:c r="A29" s="20" t="str">
        <x:v>TC-025</x:v>
      </x:c>
      <x:c r="B29" s="17" t="str">
        <x:v>Recherche</x:v>
      </x:c>
      <x:c r="C29" s="17" t="str">
        <x:v>Suggestions</x:v>
      </x:c>
      <x:c r="D29" s="17" t="str">
        <x:v>La route de recherche fournit des suggestions localisées.</x:v>
      </x:c>
      <x:c r="E29" s="17" t="str">
        <x:v>Fonctionnel</x:v>
      </x:c>
      <x:c r="F29" s="21" t="str">
        <x:v>Haute</x:v>
      </x:c>
      <x:c r="G29" s="17" t="str">
        <x:v>Catalogue de test</x:v>
      </x:c>
      <x:c r="H29" s="17" t="str">
        <x:v>1. Saisir un terme partiel. 2. Choisir une suggestion. 3. Contrôler la fiche.</x:v>
      </x:c>
      <x:c r="I29" s="17" t="str">
        <x:v>SOC</x:v>
      </x:c>
      <x:c r="J29" s="17" t="str">
        <x:v>Suggestions pertinentes et URL correcte.</x:v>
      </x:c>
      <x:c r="K29" s="21" t="str">
        <x:v>Preview Netlify</x:v>
      </x:c>
      <x:c r="L29" s="21" t="str"/>
      <x:c r="M29" s="22"/>
      <x:c r="N29" s="21" t="str">
        <x:v>À exécuter</x:v>
      </x:c>
      <x:c r="O29" s="17" t="str"/>
      <x:c r="P29" s="17" t="str"/>
      <x:c r="Q29" s="17" t="str"/>
      <x:c r="R29" s="17" t="str"/>
    </x:row>
    <x:row r="30" ht="74" customHeight="1">
      <x:c r="A30" s="20" t="str">
        <x:v>TC-026</x:v>
      </x:c>
      <x:c r="B30" s="17" t="str">
        <x:v>Recherche</x:v>
      </x:c>
      <x:c r="C30" s="17" t="str">
        <x:v>Aucun résultat</x:v>
      </x:c>
      <x:c r="D30" s="17" t="str">
        <x:v>La recherche vide ou sans correspondance reste contrôlée.</x:v>
      </x:c>
      <x:c r="E30" s="17" t="str">
        <x:v>Fonctionnel</x:v>
      </x:c>
      <x:c r="F30" s="21" t="str">
        <x:v>Moyenne</x:v>
      </x:c>
      <x:c r="G30" s="17" t="str">
        <x:v>Catalogue accessible</x:v>
      </x:c>
      <x:c r="H30" s="17" t="str">
        <x:v>1. Rechercher une chaîne inconnue. 2. Vérifier l'état vide.</x:v>
      </x:c>
      <x:c r="I30" s="17" t="str">
        <x:v>zz-cyna-no-match</x:v>
      </x:c>
      <x:c r="J30" s="17" t="str">
        <x:v>Message lisible, aucune erreur serveur.</x:v>
      </x:c>
      <x:c r="K30" s="21" t="str">
        <x:v>Preview Netlify</x:v>
      </x:c>
      <x:c r="L30" s="21" t="str"/>
      <x:c r="M30" s="22"/>
      <x:c r="N30" s="21" t="str">
        <x:v>À exécuter</x:v>
      </x:c>
      <x:c r="O30" s="17" t="str"/>
      <x:c r="P30" s="17" t="str"/>
      <x:c r="Q30" s="17" t="str"/>
      <x:c r="R30" s="17" t="str"/>
    </x:row>
    <x:row r="31" ht="74" customHeight="1">
      <x:c r="A31" s="20" t="str">
        <x:v>TC-027</x:v>
      </x:c>
      <x:c r="B31" s="17" t="str">
        <x:v>Catalogue</x:v>
      </x:c>
      <x:c r="C31" s="17" t="str">
        <x:v>Suppression protégée</x:v>
      </x:c>
      <x:c r="D31" s="17" t="str">
        <x:v>Un produit référencé par l'historique ne disparaît pas sans contrôle.</x:v>
      </x:c>
      <x:c r="E31" s="17" t="str">
        <x:v>Sécurité</x:v>
      </x:c>
      <x:c r="F31" s="21" t="str">
        <x:v>Haute</x:v>
      </x:c>
      <x:c r="G31" s="17" t="str">
        <x:v>Admin AAL2 et produit référencé</x:v>
      </x:c>
      <x:c r="H31" s="17" t="str">
        <x:v>1. Ouvrir l'édition. 2. Demander la suppression. 3. Contrôler le refus ou la désactivation.</x:v>
      </x:c>
      <x:c r="I31" s="17" t="str">
        <x:v>Produit en commande</x:v>
      </x:c>
      <x:c r="J31" s="17" t="str">
        <x:v>Intégrité référentielle conservée.</x:v>
      </x:c>
      <x:c r="K31" s="21" t="str">
        <x:v>Preview Netlify</x:v>
      </x:c>
      <x:c r="L31" s="21" t="str"/>
      <x:c r="M31" s="22"/>
      <x:c r="N31" s="21" t="str">
        <x:v>À exécuter</x:v>
      </x:c>
      <x:c r="O31" s="17" t="str"/>
      <x:c r="P31" s="17" t="str"/>
      <x:c r="Q31" s="17" t="str"/>
      <x:c r="R31" s="17" t="str"/>
    </x:row>
    <x:row r="32" ht="74" customHeight="1">
      <x:c r="A32" s="20" t="str">
        <x:v>TC-028</x:v>
      </x:c>
      <x:c r="B32" s="17" t="str">
        <x:v>Panier</x:v>
      </x:c>
      <x:c r="C32" s="17" t="str">
        <x:v>Ajout</x:v>
      </x:c>
      <x:c r="D32" s="17" t="str">
        <x:v>Une offre valide peut être ajoutée au panier.</x:v>
      </x:c>
      <x:c r="E32" s="17" t="str">
        <x:v>Fonctionnel</x:v>
      </x:c>
      <x:c r="F32" s="21" t="str">
        <x:v>Critique</x:v>
      </x:c>
      <x:c r="G32" s="17" t="str">
        <x:v>Produit achetable</x:v>
      </x:c>
      <x:c r="H32" s="17" t="str">
        <x:v>1. Choisir tarif et utilisateurs. 2. Ajouter. 3. Ouvrir le panier.</x:v>
      </x:c>
      <x:c r="I32" s="17" t="str">
        <x:v>Produit récurrent</x:v>
      </x:c>
      <x:c r="J32" s="17" t="str">
        <x:v>Une ligne unique avec valeurs choisies et total cohérent.</x:v>
      </x:c>
      <x:c r="K32" s="21" t="str">
        <x:v>Preview Netlify</x:v>
      </x:c>
      <x:c r="L32" s="21" t="str"/>
      <x:c r="M32" s="22"/>
      <x:c r="N32" s="21" t="str">
        <x:v>À exécuter</x:v>
      </x:c>
      <x:c r="O32" s="17" t="str"/>
      <x:c r="P32" s="17" t="str"/>
      <x:c r="Q32" s="17" t="str"/>
      <x:c r="R32" s="17" t="str"/>
    </x:row>
    <x:row r="33" ht="74" customHeight="1">
      <x:c r="A33" s="20" t="str">
        <x:v>TC-029</x:v>
      </x:c>
      <x:c r="B33" s="17" t="str">
        <x:v>Panier</x:v>
      </x:c>
      <x:c r="C33" s="17" t="str">
        <x:v>Modification</x:v>
      </x:c>
      <x:c r="D33" s="17" t="str">
        <x:v>Quantité et suppression mettent à jour le total.</x:v>
      </x:c>
      <x:c r="E33" s="17" t="str">
        <x:v>Fonctionnel</x:v>
      </x:c>
      <x:c r="F33" s="21" t="str">
        <x:v>Haute</x:v>
      </x:c>
      <x:c r="G33" s="17" t="str">
        <x:v>Panier non vide</x:v>
      </x:c>
      <x:c r="H33" s="17" t="str">
        <x:v>1. Modifier le nombre d'utilisateurs. 2. Contrôler le total. 3. Supprimer la ligne.</x:v>
      </x:c>
      <x:c r="I33" s="17" t="str">
        <x:v>1 à 5 utilisateurs</x:v>
      </x:c>
      <x:c r="J33" s="17" t="str">
        <x:v>Total recalculé, panier vide après suppression.</x:v>
      </x:c>
      <x:c r="K33" s="21" t="str">
        <x:v>Preview Netlify</x:v>
      </x:c>
      <x:c r="L33" s="21" t="str"/>
      <x:c r="M33" s="22"/>
      <x:c r="N33" s="21" t="str">
        <x:v>À exécuter</x:v>
      </x:c>
      <x:c r="O33" s="17" t="str"/>
      <x:c r="P33" s="17" t="str"/>
      <x:c r="Q33" s="17" t="str"/>
      <x:c r="R33" s="17" t="str"/>
    </x:row>
    <x:row r="34" ht="74" customHeight="1">
      <x:c r="A34" s="20" t="str">
        <x:v>TC-030</x:v>
      </x:c>
      <x:c r="B34" s="17" t="str">
        <x:v>Panier</x:v>
      </x:c>
      <x:c r="C34" s="17" t="str">
        <x:v>Persistance</x:v>
      </x:c>
      <x:c r="D34" s="17" t="str">
        <x:v>Le panier persiste sur le même navigateur et expire selon la politique.</x:v>
      </x:c>
      <x:c r="E34" s="17" t="str">
        <x:v>Intégration</x:v>
      </x:c>
      <x:c r="F34" s="21" t="str">
        <x:v>Moyenne</x:v>
      </x:c>
      <x:c r="G34" s="17" t="str">
        <x:v>Cookies autorisés</x:v>
      </x:c>
      <x:c r="H34" s="17" t="str">
        <x:v>1. Ajouter une ligne. 2. Fermer et rouvrir le site. 3. Contrôler le panier.</x:v>
      </x:c>
      <x:c r="I34" s="17" t="str">
        <x:v>Cookie cyna_cart</x:v>
      </x:c>
      <x:c r="J34" s="17" t="str">
        <x:v>Ligne retrouvée sur le même appareil.</x:v>
      </x:c>
      <x:c r="K34" s="21" t="str">
        <x:v>Preview Netlify</x:v>
      </x:c>
      <x:c r="L34" s="21" t="str"/>
      <x:c r="M34" s="22"/>
      <x:c r="N34" s="21" t="str">
        <x:v>À exécuter</x:v>
      </x:c>
      <x:c r="O34" s="17" t="str"/>
      <x:c r="P34" s="17" t="str"/>
      <x:c r="Q34" s="17" t="str"/>
      <x:c r="R34" s="17" t="str"/>
    </x:row>
    <x:row r="35" ht="74" customHeight="1">
      <x:c r="A35" s="20" t="str">
        <x:v>TC-031</x:v>
      </x:c>
      <x:c r="B35" s="17" t="str">
        <x:v>Checkout</x:v>
      </x:c>
      <x:c r="C35" s="17" t="str">
        <x:v>Revalidation serveur</x:v>
      </x:c>
      <x:c r="D35" s="17" t="str">
        <x:v>Le serveur refuse une ligne inactive ou altérée.</x:v>
      </x:c>
      <x:c r="E35" s="17" t="str">
        <x:v>Sécurité</x:v>
      </x:c>
      <x:c r="F35" s="21" t="str">
        <x:v>Critique</x:v>
      </x:c>
      <x:c r="G35" s="17" t="str">
        <x:v>Panier préparé puis produit désactivé</x:v>
      </x:c>
      <x:c r="H35" s="17" t="str">
        <x:v>1. Désactiver le produit. 2. Lancer le checkout. 3. Observer la réponse.</x:v>
      </x:c>
      <x:c r="I35" s="17" t="str">
        <x:v>Ancienne ligne panier</x:v>
      </x:c>
      <x:c r="J35" s="17" t="str">
        <x:v>Aucune session Stripe créée pour la ligne invalide.</x:v>
      </x:c>
      <x:c r="K35" s="21" t="str">
        <x:v>Preview Netlify</x:v>
      </x:c>
      <x:c r="L35" s="21" t="str"/>
      <x:c r="M35" s="22"/>
      <x:c r="N35" s="21" t="str">
        <x:v>À exécuter</x:v>
      </x:c>
      <x:c r="O35" s="17" t="str"/>
      <x:c r="P35" s="17" t="str"/>
      <x:c r="Q35" s="17" t="str"/>
      <x:c r="R35" s="17" t="str"/>
    </x:row>
    <x:row r="36" ht="74" customHeight="1">
      <x:c r="A36" s="20" t="str">
        <x:v>TC-032</x:v>
      </x:c>
      <x:c r="B36" s="17" t="str">
        <x:v>Checkout</x:v>
      </x:c>
      <x:c r="C36" s="17" t="str">
        <x:v>Promotion absente</x:v>
      </x:c>
      <x:c r="D36" s="17" t="str">
        <x:v>L'absence de promotion automatique ne provoque pas d'accès à null.</x:v>
      </x:c>
      <x:c r="E36" s="17" t="str">
        <x:v>Non-régression</x:v>
      </x:c>
      <x:c r="F36" s="21" t="str">
        <x:v>Critique</x:v>
      </x:c>
      <x:c r="G36" s="17" t="str">
        <x:v>Produit sans promotion</x:v>
      </x:c>
      <x:c r="H36" s="17" t="str">
        <x:v>1. Ajouter le produit. 2. Lancer le checkout. 3. Atteindre Stripe.</x:v>
      </x:c>
      <x:c r="I36" s="17" t="str">
        <x:v>automaticPromotion = null</x:v>
      </x:c>
      <x:c r="J36" s="17" t="str">
        <x:v>Aucune erreur JavaScript, id_promotion enregistré à null.</x:v>
      </x:c>
      <x:c r="K36" s="21" t="str">
        <x:v>Preview Netlify</x:v>
      </x:c>
      <x:c r="L36" s="21" t="str"/>
      <x:c r="M36" s="22"/>
      <x:c r="N36" s="21" t="str">
        <x:v>À exécuter</x:v>
      </x:c>
      <x:c r="O36" s="17" t="str"/>
      <x:c r="P36" s="17" t="str"/>
      <x:c r="Q36" s="17" t="str"/>
      <x:c r="R36" s="17" t="str"/>
    </x:row>
    <x:row r="37" ht="74" customHeight="1">
      <x:c r="A37" s="20" t="str">
        <x:v>TC-033</x:v>
      </x:c>
      <x:c r="B37" s="17" t="str">
        <x:v>Checkout</x:v>
      </x:c>
      <x:c r="C37" s="17" t="str">
        <x:v>Promotion automatique</x:v>
      </x:c>
      <x:c r="D37" s="17" t="str">
        <x:v>Une promotion valide est appliquée à la bonne ligne.</x:v>
      </x:c>
      <x:c r="E37" s="17" t="str">
        <x:v>Intégration</x:v>
      </x:c>
      <x:c r="F37" s="21" t="str">
        <x:v>Haute</x:v>
      </x:c>
      <x:c r="G37" s="17" t="str">
        <x:v>Promotion active et produit cible</x:v>
      </x:c>
      <x:c r="H37" s="17" t="str">
        <x:v>1. Ouvrir la fiche. 2. Ajouter au panier. 3. Comparer UI, session Stripe et ligne de commande.</x:v>
      </x:c>
      <x:c r="I37" s="17" t="str">
        <x:v>Promotion catégorie ou produit</x:v>
      </x:c>
      <x:c r="J37" s="17" t="str">
        <x:v>Même remise et identifiant cohérent.</x:v>
      </x:c>
      <x:c r="K37" s="21" t="str">
        <x:v>Preview Netlify</x:v>
      </x:c>
      <x:c r="L37" s="21" t="str"/>
      <x:c r="M37" s="22"/>
      <x:c r="N37" s="21" t="str">
        <x:v>À exécuter</x:v>
      </x:c>
      <x:c r="O37" s="17" t="str"/>
      <x:c r="P37" s="17" t="str"/>
      <x:c r="Q37" s="17" t="str"/>
      <x:c r="R37" s="17" t="str"/>
    </x:row>
    <x:row r="38" ht="74" customHeight="1">
      <x:c r="A38" s="20" t="str">
        <x:v>TC-034</x:v>
      </x:c>
      <x:c r="B38" s="17" t="str">
        <x:v>Checkout</x:v>
      </x:c>
      <x:c r="C38" s="17" t="str">
        <x:v>Invité</x:v>
      </x:c>
      <x:c r="D38" s="17" t="str">
        <x:v>Un visiteur peut fournir l'e-mail requis sans créer une session incohérente.</x:v>
      </x:c>
      <x:c r="E38" s="17" t="str">
        <x:v>Fonctionnel</x:v>
      </x:c>
      <x:c r="F38" s="21" t="str">
        <x:v>Haute</x:v>
      </x:c>
      <x:c r="G38" s="17" t="str">
        <x:v>Visiteur déconnecté et panier valide</x:v>
      </x:c>
      <x:c r="H38" s="17" t="str">
        <x:v>1. Lancer le checkout. 2. Saisir un e-mail de test. 3. Continuer.</x:v>
      </x:c>
      <x:c r="I38" s="17" t="str">
        <x:v>guest@example.test</x:v>
      </x:c>
      <x:c r="J38" s="17" t="str">
        <x:v>Session Stripe ouverte et retour contrôlé.</x:v>
      </x:c>
      <x:c r="K38" s="21" t="str">
        <x:v>Preview Netlify</x:v>
      </x:c>
      <x:c r="L38" s="21" t="str"/>
      <x:c r="M38" s="22"/>
      <x:c r="N38" s="21" t="str">
        <x:v>À exécuter</x:v>
      </x:c>
      <x:c r="O38" s="17" t="str"/>
      <x:c r="P38" s="17" t="str"/>
      <x:c r="Q38" s="17" t="str"/>
      <x:c r="R38" s="17" t="str"/>
    </x:row>
    <x:row r="39" ht="74" customHeight="1">
      <x:c r="A39" s="20" t="str">
        <x:v>TC-035</x:v>
      </x:c>
      <x:c r="B39" s="17" t="str">
        <x:v>Stripe</x:v>
      </x:c>
      <x:c r="C39" s="17" t="str">
        <x:v>Paiement accepté</x:v>
      </x:c>
      <x:c r="D39" s="17" t="str">
        <x:v>Le webhook finalise commande, lignes, abonnement et facture.</x:v>
      </x:c>
      <x:c r="E39" s="17" t="str">
        <x:v>Intégration</x:v>
      </x:c>
      <x:c r="F39" s="21" t="str">
        <x:v>Critique</x:v>
      </x:c>
      <x:c r="G39" s="17" t="str">
        <x:v>Stripe test et webhook configuré</x:v>
      </x:c>
      <x:c r="H39" s="17" t="str">
        <x:v>1. Payer une session test. 2. Attendre le webhook. 3. Comparer Stripe, Supabase et espace client.</x:v>
      </x:c>
      <x:c r="I39" s="17" t="str">
        <x:v>Carte Stripe de test</x:v>
      </x:c>
      <x:c r="J39" s="17" t="str">
        <x:v>Commande payée, objets liés idempotents.</x:v>
      </x:c>
      <x:c r="K39" s="21" t="str">
        <x:v>Preview Netlify</x:v>
      </x:c>
      <x:c r="L39" s="21" t="str"/>
      <x:c r="M39" s="22"/>
      <x:c r="N39" s="21" t="str">
        <x:v>À exécuter</x:v>
      </x:c>
      <x:c r="O39" s="17" t="str"/>
      <x:c r="P39" s="17" t="str"/>
      <x:c r="Q39" s="17" t="str"/>
      <x:c r="R39" s="17" t="str"/>
    </x:row>
    <x:row r="40" ht="74" customHeight="1">
      <x:c r="A40" s="20" t="str">
        <x:v>TC-036</x:v>
      </x:c>
      <x:c r="B40" s="17" t="str">
        <x:v>Stripe</x:v>
      </x:c>
      <x:c r="C40" s="17" t="str">
        <x:v>Webhook invalide</x:v>
      </x:c>
      <x:c r="D40" s="17" t="str">
        <x:v>Une signature invalide est refusée sans effet de bord.</x:v>
      </x:c>
      <x:c r="E40" s="17" t="str">
        <x:v>Sécurité</x:v>
      </x:c>
      <x:c r="F40" s="21" t="str">
        <x:v>Critique</x:v>
      </x:c>
      <x:c r="G40" s="17" t="str">
        <x:v>Endpoint accessible</x:v>
      </x:c>
      <x:c r="H40" s="17" t="str">
        <x:v>1. Envoyer une charge utile avec mauvaise signature. 2. Contrôler code et base.</x:v>
      </x:c>
      <x:c r="I40" s="17" t="str">
        <x:v>Signature factice</x:v>
      </x:c>
      <x:c r="J40" s="17" t="str">
        <x:v>Code 400, aucune commande ni facture modifiée.</x:v>
      </x:c>
      <x:c r="K40" s="21" t="str">
        <x:v>Preview Netlify</x:v>
      </x:c>
      <x:c r="L40" s="21" t="str"/>
      <x:c r="M40" s="22"/>
      <x:c r="N40" s="21" t="str">
        <x:v>À exécuter</x:v>
      </x:c>
      <x:c r="O40" s="17" t="str"/>
      <x:c r="P40" s="17" t="str"/>
      <x:c r="Q40" s="17" t="str"/>
      <x:c r="R40" s="17" t="str"/>
    </x:row>
    <x:row r="41" ht="74" customHeight="1">
      <x:c r="A41" s="20" t="str">
        <x:v>TC-037</x:v>
      </x:c>
      <x:c r="B41" s="17" t="str">
        <x:v>Stripe</x:v>
      </x:c>
      <x:c r="C41" s="17" t="str">
        <x:v>Idempotence</x:v>
      </x:c>
      <x:c r="D41" s="17" t="str">
        <x:v>Le même événement peut être rejoué sans doublon.</x:v>
      </x:c>
      <x:c r="E41" s="17" t="str">
        <x:v>Intégration</x:v>
      </x:c>
      <x:c r="F41" s="21" t="str">
        <x:v>Critique</x:v>
      </x:c>
      <x:c r="G41" s="17" t="str">
        <x:v>Événement Stripe valide traité</x:v>
      </x:c>
      <x:c r="H41" s="17" t="str">
        <x:v>1. Rejouer l'événement. 2. Compter commandes, lignes, factures et abonnements.</x:v>
      </x:c>
      <x:c r="I41" s="17" t="str">
        <x:v>Même event.id</x:v>
      </x:c>
      <x:c r="J41" s="17" t="str">
        <x:v>Aucun doublon et réponse d'acquittement.</x:v>
      </x:c>
      <x:c r="K41" s="21" t="str">
        <x:v>Stripe test</x:v>
      </x:c>
      <x:c r="L41" s="21" t="str"/>
      <x:c r="M41" s="22"/>
      <x:c r="N41" s="21" t="str">
        <x:v>À exécuter</x:v>
      </x:c>
      <x:c r="O41" s="17" t="str"/>
      <x:c r="P41" s="17" t="str"/>
      <x:c r="Q41" s="17" t="str"/>
      <x:c r="R41" s="17" t="str"/>
    </x:row>
    <x:row r="42" ht="74" customHeight="1">
      <x:c r="A42" s="20" t="str">
        <x:v>TC-038</x:v>
      </x:c>
      <x:c r="B42" s="17" t="str">
        <x:v>Espace client</x:v>
      </x:c>
      <x:c r="C42" s="17" t="str">
        <x:v>Isolation des données</x:v>
      </x:c>
      <x:c r="D42" s="17" t="str">
        <x:v>Un client ne voit que ses objets.</x:v>
      </x:c>
      <x:c r="E42" s="17" t="str">
        <x:v>Sécurité</x:v>
      </x:c>
      <x:c r="F42" s="21" t="str">
        <x:v>Critique</x:v>
      </x:c>
      <x:c r="G42" s="17" t="str">
        <x:v>Deux comptes clients avec données distinctes</x:v>
      </x:c>
      <x:c r="H42" s="17" t="str">
        <x:v>1. Se connecter en client A. 2. Tester listes et URL détail du client B.</x:v>
      </x:c>
      <x:c r="I42" s="17" t="str">
        <x:v>Deux jeux d'identifiants</x:v>
      </x:c>
      <x:c r="J42" s="17" t="str">
        <x:v>Données B absentes ou accès refusé.</x:v>
      </x:c>
      <x:c r="K42" s="21" t="str">
        <x:v>Preview Netlify</x:v>
      </x:c>
      <x:c r="L42" s="21" t="str"/>
      <x:c r="M42" s="22"/>
      <x:c r="N42" s="21" t="str">
        <x:v>À exécuter</x:v>
      </x:c>
      <x:c r="O42" s="17" t="str"/>
      <x:c r="P42" s="17" t="str"/>
      <x:c r="Q42" s="17" t="str"/>
      <x:c r="R42" s="17" t="str"/>
    </x:row>
    <x:row r="43" ht="74" customHeight="1">
      <x:c r="A43" s="20" t="str">
        <x:v>TC-039</x:v>
      </x:c>
      <x:c r="B43" s="17" t="str">
        <x:v>Espace client</x:v>
      </x:c>
      <x:c r="C43" s="17" t="str">
        <x:v>Profil</x:v>
      </x:c>
      <x:c r="D43" s="17" t="str">
        <x:v>Le nom et l'e-mail suivent les validations et confirmations.</x:v>
      </x:c>
      <x:c r="E43" s="17" t="str">
        <x:v>Fonctionnel</x:v>
      </x:c>
      <x:c r="F43" s="21" t="str">
        <x:v>Haute</x:v>
      </x:c>
      <x:c r="G43" s="17" t="str">
        <x:v>Client connecté</x:v>
      </x:c>
      <x:c r="H43" s="17" t="str">
        <x:v>1. Modifier le nom. 2. Demander un changement d'e-mail. 3. Suivre le callback.</x:v>
      </x:c>
      <x:c r="I43" s="17" t="str">
        <x:v>E-mail de test</x:v>
      </x:c>
      <x:c r="J43" s="17" t="str">
        <x:v>Profil cohérent et message non dupliqué.</x:v>
      </x:c>
      <x:c r="K43" s="21" t="str">
        <x:v>Preview Netlify</x:v>
      </x:c>
      <x:c r="L43" s="21" t="str"/>
      <x:c r="M43" s="22"/>
      <x:c r="N43" s="21" t="str">
        <x:v>À exécuter</x:v>
      </x:c>
      <x:c r="O43" s="17" t="str"/>
      <x:c r="P43" s="17" t="str"/>
      <x:c r="Q43" s="17" t="str"/>
      <x:c r="R43" s="17" t="str"/>
    </x:row>
    <x:row r="44" ht="74" customHeight="1">
      <x:c r="A44" s="20" t="str">
        <x:v>TC-040</x:v>
      </x:c>
      <x:c r="B44" s="17" t="str">
        <x:v>Espace client</x:v>
      </x:c>
      <x:c r="C44" s="17" t="str">
        <x:v>Adresses</x:v>
      </x:c>
      <x:c r="D44" s="17" t="str">
        <x:v>Création, édition et suppression respectent la propriété.</x:v>
      </x:c>
      <x:c r="E44" s="17" t="str">
        <x:v>Fonctionnel</x:v>
      </x:c>
      <x:c r="F44" s="21" t="str">
        <x:v>Moyenne</x:v>
      </x:c>
      <x:c r="G44" s="17" t="str">
        <x:v>Client connecté</x:v>
      </x:c>
      <x:c r="H44" s="17" t="str">
        <x:v>1. Créer une adresse. 2. Modifier. 3. Supprimer. 4. Tester l'URL d'un autre compte.</x:v>
      </x:c>
      <x:c r="I44" s="17" t="str">
        <x:v>Adresse de test</x:v>
      </x:c>
      <x:c r="J44" s="17" t="str">
        <x:v>CRUD du bon compte, autre compte refusé.</x:v>
      </x:c>
      <x:c r="K44" s="21" t="str">
        <x:v>Preview Netlify</x:v>
      </x:c>
      <x:c r="L44" s="21" t="str"/>
      <x:c r="M44" s="22"/>
      <x:c r="N44" s="21" t="str">
        <x:v>À exécuter</x:v>
      </x:c>
      <x:c r="O44" s="17" t="str"/>
      <x:c r="P44" s="17" t="str"/>
      <x:c r="Q44" s="17" t="str"/>
      <x:c r="R44" s="17" t="str"/>
    </x:row>
    <x:row r="45" ht="74" customHeight="1">
      <x:c r="A45" s="20" t="str">
        <x:v>TC-041</x:v>
      </x:c>
      <x:c r="B45" s="17" t="str">
        <x:v>Espace client</x:v>
      </x:c>
      <x:c r="C45" s="17" t="str">
        <x:v>Facture signée</x:v>
      </x:c>
      <x:c r="D45" s="17" t="str">
        <x:v>Le PDF est accessible par URL signée temporaire.</x:v>
      </x:c>
      <x:c r="E45" s="17" t="str">
        <x:v>Sécurité</x:v>
      </x:c>
      <x:c r="F45" s="21" t="str">
        <x:v>Haute</x:v>
      </x:c>
      <x:c r="G45" s="17" t="str">
        <x:v>Client avec facture</x:v>
      </x:c>
      <x:c r="H45" s="17" t="str">
        <x:v>1. Télécharger. 2. Contrôler le PDF. 3. Tester une URL expirée.</x:v>
      </x:c>
      <x:c r="I45" s="17" t="str">
        <x:v>Facture test</x:v>
      </x:c>
      <x:c r="J45" s="17" t="str">
        <x:v>PDF du bon client, ancienne URL refusée après expiration.</x:v>
      </x:c>
      <x:c r="K45" s="21" t="str">
        <x:v>Preview Netlify</x:v>
      </x:c>
      <x:c r="L45" s="21" t="str"/>
      <x:c r="M45" s="22"/>
      <x:c r="N45" s="21" t="str">
        <x:v>À exécuter</x:v>
      </x:c>
      <x:c r="O45" s="17" t="str"/>
      <x:c r="P45" s="17" t="str"/>
      <x:c r="Q45" s="17" t="str"/>
      <x:c r="R45" s="17" t="str"/>
    </x:row>
    <x:row r="46" ht="74" customHeight="1">
      <x:c r="A46" s="20" t="str">
        <x:v>TC-042</x:v>
      </x:c>
      <x:c r="B46" s="17" t="str">
        <x:v>Abonnements</x:v>
      </x:c>
      <x:c r="C46" s="17" t="str">
        <x:v>Liste et état</x:v>
      </x:c>
      <x:c r="D46" s="17" t="str">
        <x:v>Les abonnements reflètent Stripe et les statuts métier.</x:v>
      </x:c>
      <x:c r="E46" s="17" t="str">
        <x:v>Intégration</x:v>
      </x:c>
      <x:c r="F46" s="21" t="str">
        <x:v>Haute</x:v>
      </x:c>
      <x:c r="G46" s="17" t="str">
        <x:v>Client avec abonnements variés</x:v>
      </x:c>
      <x:c r="H46" s="17" t="str">
        <x:v>1. Comparer espace client, BackOffice et Stripe. 2. Contrôler prochaine échéance.</x:v>
      </x:c>
      <x:c r="I46" s="17" t="str">
        <x:v>Actif, en retard, annulé</x:v>
      </x:c>
      <x:c r="J46" s="17" t="str">
        <x:v>Libellés et dates cohérents.</x:v>
      </x:c>
      <x:c r="K46" s="21" t="str">
        <x:v>Preview Netlify</x:v>
      </x:c>
      <x:c r="L46" s="21" t="str"/>
      <x:c r="M46" s="22"/>
      <x:c r="N46" s="21" t="str">
        <x:v>À exécuter</x:v>
      </x:c>
      <x:c r="O46" s="17" t="str"/>
      <x:c r="P46" s="17" t="str"/>
      <x:c r="Q46" s="17" t="str"/>
      <x:c r="R46" s="17" t="str"/>
    </x:row>
    <x:row r="47" ht="74" customHeight="1">
      <x:c r="A47" s="20" t="str">
        <x:v>TC-043</x:v>
      </x:c>
      <x:c r="B47" s="17" t="str">
        <x:v>Support</x:v>
      </x:c>
      <x:c r="C47" s="17" t="str">
        <x:v>Création ticket</x:v>
      </x:c>
      <x:c r="D47" s="17" t="str">
        <x:v>Un client ouvre un ticket valide sans exposer de secret.</x:v>
      </x:c>
      <x:c r="E47" s="17" t="str">
        <x:v>Fonctionnel</x:v>
      </x:c>
      <x:c r="F47" s="21" t="str">
        <x:v>Haute</x:v>
      </x:c>
      <x:c r="G47" s="17" t="str">
        <x:v>Client connecté</x:v>
      </x:c>
      <x:c r="H47" s="17" t="str">
        <x:v>1. Ouvrir le formulaire. 2. Saisir sujet et description. 3. Valider. 4. Ouvrir la liste.</x:v>
      </x:c>
      <x:c r="I47" s="17" t="str">
        <x:v>Catégorie support</x:v>
      </x:c>
      <x:c r="J47" s="17" t="str">
        <x:v>Ticket créé pour le bon client et visible au BackOffice.</x:v>
      </x:c>
      <x:c r="K47" s="21" t="str">
        <x:v>Preview Netlify</x:v>
      </x:c>
      <x:c r="L47" s="21" t="str"/>
      <x:c r="M47" s="22"/>
      <x:c r="N47" s="21" t="str">
        <x:v>À exécuter</x:v>
      </x:c>
      <x:c r="O47" s="17" t="str"/>
      <x:c r="P47" s="17" t="str"/>
      <x:c r="Q47" s="17" t="str"/>
      <x:c r="R47" s="17" t="str"/>
    </x:row>
    <x:row r="48" ht="74" customHeight="1">
      <x:c r="A48" s="20" t="str">
        <x:v>TC-044</x:v>
      </x:c>
      <x:c r="B48" s="17" t="str">
        <x:v>Support</x:v>
      </x:c>
      <x:c r="C48" s="17" t="str">
        <x:v>Ticket d'un autre client</x:v>
      </x:c>
      <x:c r="D48" s="17" t="str">
        <x:v>La lecture directe d'un ticket étranger est refusée.</x:v>
      </x:c>
      <x:c r="E48" s="17" t="str">
        <x:v>Sécurité</x:v>
      </x:c>
      <x:c r="F48" s="21" t="str">
        <x:v>Critique</x:v>
      </x:c>
      <x:c r="G48" s="17" t="str">
        <x:v>Deux comptes et un ticket du client B</x:v>
      </x:c>
      <x:c r="H48" s="17" t="str">
        <x:v>1. Se connecter en A. 2. Ouvrir l'URL du ticket B.</x:v>
      </x:c>
      <x:c r="I48" s="17" t="str">
        <x:v>ID du ticket B</x:v>
      </x:c>
      <x:c r="J48" s="17" t="str">
        <x:v>404 ou refus sans détail sensible.</x:v>
      </x:c>
      <x:c r="K48" s="21" t="str">
        <x:v>Preview Netlify</x:v>
      </x:c>
      <x:c r="L48" s="21" t="str"/>
      <x:c r="M48" s="22"/>
      <x:c r="N48" s="21" t="str">
        <x:v>À exécuter</x:v>
      </x:c>
      <x:c r="O48" s="17" t="str"/>
      <x:c r="P48" s="17" t="str"/>
      <x:c r="Q48" s="17" t="str"/>
      <x:c r="R48" s="17" t="str"/>
    </x:row>
    <x:row r="49" ht="74" customHeight="1">
      <x:c r="A49" s="20" t="str">
        <x:v>TC-045</x:v>
      </x:c>
      <x:c r="B49" s="17" t="str">
        <x:v>CynAI</x:v>
      </x:c>
      <x:c r="C49" s="17" t="str">
        <x:v>Conversation invité</x:v>
      </x:c>
      <x:c r="D49" s="17" t="str">
        <x:v>Une conversation anonyme reçoit texte et terminaison NDJSON.</x:v>
      </x:c>
      <x:c r="E49" s="17" t="str">
        <x:v>Intégration</x:v>
      </x:c>
      <x:c r="F49" s="21" t="str">
        <x:v>Haute</x:v>
      </x:c>
      <x:c r="G49" s="17" t="str">
        <x:v>Gemini et Supabase disponibles</x:v>
      </x:c>
      <x:c r="H49" s="17" t="str">
        <x:v>1. Ouvrir le widget déconnecté. 2. Poser une question. 3. Observer le flux.</x:v>
      </x:c>
      <x:c r="I49" s="17" t="str">
        <x:v>Question catalogue</x:v>
      </x:c>
      <x:c r="J49" s="17" t="str">
        <x:v>conversation, text puis done, aucun secret dans la réponse.</x:v>
      </x:c>
      <x:c r="K49" s="21" t="str">
        <x:v>Preview Netlify</x:v>
      </x:c>
      <x:c r="L49" s="21" t="str"/>
      <x:c r="M49" s="22"/>
      <x:c r="N49" s="21" t="str">
        <x:v>À exécuter</x:v>
      </x:c>
      <x:c r="O49" s="17" t="str"/>
      <x:c r="P49" s="17" t="str"/>
      <x:c r="Q49" s="17" t="str"/>
      <x:c r="R49" s="17" t="str"/>
    </x:row>
    <x:row r="50" ht="74" customHeight="1">
      <x:c r="A50" s="20" t="str">
        <x:v>TC-046</x:v>
      </x:c>
      <x:c r="B50" s="17" t="str">
        <x:v>CynAI</x:v>
      </x:c>
      <x:c r="C50" s="17" t="str">
        <x:v>Carte produit</x:v>
      </x:c>
      <x:c r="D50" s="17" t="str">
        <x:v>L'outil catalogue peut produire une carte produit structurée.</x:v>
      </x:c>
      <x:c r="E50" s="17" t="str">
        <x:v>Fonctionnel</x:v>
      </x:c>
      <x:c r="F50" s="21" t="str">
        <x:v>Haute</x:v>
      </x:c>
      <x:c r="G50" s="17" t="str">
        <x:v>Produit actif</x:v>
      </x:c>
      <x:c r="H50" s="17" t="str">
        <x:v>1. Demander un produit précis. 2. Ouvrir la carte retournée.</x:v>
      </x:c>
      <x:c r="I50" s="17" t="str">
        <x:v>Recherche SOC</x:v>
      </x:c>
      <x:c r="J50" s="17" t="str">
        <x:v>Carte typée avec lien valide et données publiques.</x:v>
      </x:c>
      <x:c r="K50" s="21" t="str">
        <x:v>Preview Netlify</x:v>
      </x:c>
      <x:c r="L50" s="21" t="str"/>
      <x:c r="M50" s="22"/>
      <x:c r="N50" s="21" t="str">
        <x:v>À exécuter</x:v>
      </x:c>
      <x:c r="O50" s="17" t="str"/>
      <x:c r="P50" s="17" t="str"/>
      <x:c r="Q50" s="17" t="str"/>
      <x:c r="R50" s="17" t="str"/>
    </x:row>
    <x:row r="51" ht="74" customHeight="1">
      <x:c r="A51" s="20" t="str">
        <x:v>TC-047</x:v>
      </x:c>
      <x:c r="B51" s="17" t="str">
        <x:v>CynAI</x:v>
      </x:c>
      <x:c r="C51" s="17" t="str">
        <x:v>Carte catégorie</x:v>
      </x:c>
      <x:c r="D51" s="17" t="str">
        <x:v>L'outil catégorie renvoie une destination localisée.</x:v>
      </x:c>
      <x:c r="E51" s="17" t="str">
        <x:v>Fonctionnel</x:v>
      </x:c>
      <x:c r="F51" s="21" t="str">
        <x:v>Moyenne</x:v>
      </x:c>
      <x:c r="G51" s="17" t="str">
        <x:v>Catégorie active</x:v>
      </x:c>
      <x:c r="H51" s="17" t="str">
        <x:v>1. Demander une famille de services. 2. Ouvrir la carte.</x:v>
      </x:c>
      <x:c r="I51" s="17" t="str">
        <x:v>EDR</x:v>
      </x:c>
      <x:c r="J51" s="17" t="str">
        <x:v>Catégorie correcte et locale conservée.</x:v>
      </x:c>
      <x:c r="K51" s="21" t="str">
        <x:v>Preview Netlify</x:v>
      </x:c>
      <x:c r="L51" s="21" t="str"/>
      <x:c r="M51" s="22"/>
      <x:c r="N51" s="21" t="str">
        <x:v>À exécuter</x:v>
      </x:c>
      <x:c r="O51" s="17" t="str"/>
      <x:c r="P51" s="17" t="str"/>
      <x:c r="Q51" s="17" t="str"/>
      <x:c r="R51" s="17" t="str"/>
    </x:row>
    <x:row r="52" ht="74" customHeight="1">
      <x:c r="A52" s="20" t="str">
        <x:v>TC-048</x:v>
      </x:c>
      <x:c r="B52" s="17" t="str">
        <x:v>CynAI</x:v>
      </x:c>
      <x:c r="C52" s="17" t="str">
        <x:v>Boucle d'outils</x:v>
      </x:c>
      <x:c r="D52" s="17" t="str">
        <x:v>Plusieurs appels d'outils terminent sans boucle infinie.</x:v>
      </x:c>
      <x:c r="E52" s="17" t="str">
        <x:v>Intégration</x:v>
      </x:c>
      <x:c r="F52" s="21" t="str">
        <x:v>Haute</x:v>
      </x:c>
      <x:c r="G52" s="17" t="str">
        <x:v>Gemini disponible</x:v>
      </x:c>
      <x:c r="H52" s="17" t="str">
        <x:v>1. Poser une question nécessitant recherche et support. 2. Chronométrer. 3. Examiner NDJSON.</x:v>
      </x:c>
      <x:c r="I52" s="17" t="str">
        <x:v>Question composite</x:v>
      </x:c>
      <x:c r="J52" s="17" t="str">
        <x:v>Nombre d'appels borné, done émis une fois.</x:v>
      </x:c>
      <x:c r="K52" s="21" t="str">
        <x:v>Preview Netlify</x:v>
      </x:c>
      <x:c r="L52" s="21" t="str"/>
      <x:c r="M52" s="22"/>
      <x:c r="N52" s="21" t="str">
        <x:v>À exécuter</x:v>
      </x:c>
      <x:c r="O52" s="17" t="str"/>
      <x:c r="P52" s="17" t="str"/>
      <x:c r="Q52" s="17" t="str"/>
      <x:c r="R52" s="17" t="str"/>
    </x:row>
    <x:row r="53" ht="74" customHeight="1">
      <x:c r="A53" s="20" t="str">
        <x:v>TC-049</x:v>
      </x:c>
      <x:c r="B53" s="17" t="str">
        <x:v>CynAI</x:v>
      </x:c>
      <x:c r="C53" s="17" t="str">
        <x:v>Escalade ticket</x:v>
      </x:c>
      <x:c r="D53" s="17" t="str">
        <x:v>La carte ticket exige la session et crée un ticket propriétaire.</x:v>
      </x:c>
      <x:c r="E53" s="17" t="str">
        <x:v>Sécurité</x:v>
      </x:c>
      <x:c r="F53" s="21" t="str">
        <x:v>Haute</x:v>
      </x:c>
      <x:c r="G53" s="17" t="str">
        <x:v>Client connecté</x:v>
      </x:c>
      <x:c r="H53" s="17" t="str">
        <x:v>1. Demander une aide humaine. 2. Compléter la carte. 3. Ouvrir le ticket.</x:v>
      </x:c>
      <x:c r="I53" s="17" t="str">
        <x:v>Description sans PII</x:v>
      </x:c>
      <x:c r="J53" s="17" t="str">
        <x:v>Ticket lié au client, visible au support.</x:v>
      </x:c>
      <x:c r="K53" s="21" t="str">
        <x:v>Preview Netlify</x:v>
      </x:c>
      <x:c r="L53" s="21" t="str"/>
      <x:c r="M53" s="22"/>
      <x:c r="N53" s="21" t="str">
        <x:v>À exécuter</x:v>
      </x:c>
      <x:c r="O53" s="17" t="str"/>
      <x:c r="P53" s="17" t="str"/>
      <x:c r="Q53" s="17" t="str"/>
      <x:c r="R53" s="17" t="str"/>
    </x:row>
    <x:row r="54" ht="74" customHeight="1">
      <x:c r="A54" s="20" t="str">
        <x:v>TC-050</x:v>
      </x:c>
      <x:c r="B54" s="17" t="str">
        <x:v>CynAI</x:v>
      </x:c>
      <x:c r="C54" s="17" t="str">
        <x:v>Cookie invité</x:v>
      </x:c>
      <x:c r="D54" s="17" t="str">
        <x:v>L'identifiant invité stocké n'est pas conservé en clair côté serveur.</x:v>
      </x:c>
      <x:c r="E54" s="17" t="str">
        <x:v>Sécurité</x:v>
      </x:c>
      <x:c r="F54" s="21" t="str">
        <x:v>Critique</x:v>
      </x:c>
      <x:c r="G54" s="17" t="str">
        <x:v>Accès DB de test</x:v>
      </x:c>
      <x:c r="H54" s="17" t="str">
        <x:v>1. Démarrer une conversation. 2. Comparer cookie et propriétaire stocké.</x:v>
      </x:c>
      <x:c r="I54" s="17" t="str">
        <x:v>Cookie invité</x:v>
      </x:c>
      <x:c r="J54" s="17" t="str">
        <x:v>Empreinte SHA-256 ou valeur dérivée, pas le cookie brut.</x:v>
      </x:c>
      <x:c r="K54" s="21" t="str">
        <x:v>Supabase local</x:v>
      </x:c>
      <x:c r="L54" s="21" t="str"/>
      <x:c r="M54" s="22"/>
      <x:c r="N54" s="21" t="str">
        <x:v>À exécuter</x:v>
      </x:c>
      <x:c r="O54" s="17" t="str"/>
      <x:c r="P54" s="17" t="str"/>
      <x:c r="Q54" s="17" t="str"/>
      <x:c r="R54" s="17" t="str"/>
    </x:row>
    <x:row r="55" ht="74" customHeight="1">
      <x:c r="A55" s="20" t="str">
        <x:v>TC-051</x:v>
      </x:c>
      <x:c r="B55" s="17" t="str">
        <x:v>CynAI</x:v>
      </x:c>
      <x:c r="C55" s="17" t="str">
        <x:v>Erreur fournisseur</x:v>
      </x:c>
      <x:c r="D55" s="17" t="str">
        <x:v>Une erreur Gemini devient un enregistrement error sans stack ni PII.</x:v>
      </x:c>
      <x:c r="E55" s="17" t="str">
        <x:v>Sécurité</x:v>
      </x:c>
      <x:c r="F55" s="21" t="str">
        <x:v>Haute</x:v>
      </x:c>
      <x:c r="G55" s="17" t="str">
        <x:v>Clé Gemini invalide en environnement isolé</x:v>
      </x:c>
      <x:c r="H55" s="17" t="str">
        <x:v>1. Envoyer une question. 2. Examiner stream, UI et Sentry.</x:v>
      </x:c>
      <x:c r="I55" s="17" t="str">
        <x:v>Clé factice</x:v>
      </x:c>
      <x:c r="J55" s="17" t="str">
        <x:v>Erreur utilisateur générique, événement Sentry filtré.</x:v>
      </x:c>
      <x:c r="K55" s="21" t="str">
        <x:v>Local</x:v>
      </x:c>
      <x:c r="L55" s="21" t="str"/>
      <x:c r="M55" s="22"/>
      <x:c r="N55" s="21" t="str">
        <x:v>À exécuter</x:v>
      </x:c>
      <x:c r="O55" s="17" t="str"/>
      <x:c r="P55" s="17" t="str"/>
      <x:c r="Q55" s="17" t="str"/>
      <x:c r="R55" s="17" t="str"/>
    </x:row>
    <x:row r="56" ht="74" customHeight="1">
      <x:c r="A56" s="20" t="str">
        <x:v>TC-052</x:v>
      </x:c>
      <x:c r="B56" s="17" t="str">
        <x:v>CynAI</x:v>
      </x:c>
      <x:c r="C56" s="17" t="str">
        <x:v>Purge 90 jours</x:v>
      </x:c>
      <x:c r="D56" s="17" t="str">
        <x:v>Les conversations arrivées à échéance sont supprimables selon la politique.</x:v>
      </x:c>
      <x:c r="E56" s="17" t="str">
        <x:v>Exploitation</x:v>
      </x:c>
      <x:c r="F56" s="21" t="str">
        <x:v>Moyenne</x:v>
      </x:c>
      <x:c r="G56" s="17" t="str">
        <x:v>Données de test antidatées</x:v>
      </x:c>
      <x:c r="H56" s="17" t="str">
        <x:v>1. Créer des conversations avant et après le seuil. 2. Lancer la purge. 3. Compter.</x:v>
      </x:c>
      <x:c r="I56" s="17" t="str">
        <x:v>89 et 91 jours</x:v>
      </x:c>
      <x:c r="J56" s="17" t="str">
        <x:v>Seules les données au-delà du seuil sont supprimées.</x:v>
      </x:c>
      <x:c r="K56" s="21" t="str">
        <x:v>Supabase local</x:v>
      </x:c>
      <x:c r="L56" s="21" t="str"/>
      <x:c r="M56" s="22"/>
      <x:c r="N56" s="21" t="str">
        <x:v>À exécuter</x:v>
      </x:c>
      <x:c r="O56" s="17" t="str"/>
      <x:c r="P56" s="17" t="str"/>
      <x:c r="Q56" s="17" t="str"/>
      <x:c r="R56" s="17" t="str"/>
    </x:row>
    <x:row r="57" ht="74" customHeight="1">
      <x:c r="A57" s="20" t="str">
        <x:v>TC-053</x:v>
      </x:c>
      <x:c r="B57" s="17" t="str">
        <x:v>BackOffice</x:v>
      </x:c>
      <x:c r="C57" s="17" t="str">
        <x:v>Rôle non admin</x:v>
      </x:c>
      <x:c r="D57" s="17" t="str">
        <x:v>Un client AAL2 ne peut pas ouvrir l'administration.</x:v>
      </x:c>
      <x:c r="E57" s="17" t="str">
        <x:v>Sécurité</x:v>
      </x:c>
      <x:c r="F57" s="21" t="str">
        <x:v>Critique</x:v>
      </x:c>
      <x:c r="G57" s="17" t="str">
        <x:v>Compte client avec MFA</x:v>
      </x:c>
      <x:c r="H57" s="17" t="str">
        <x:v>1. Se connecter et valider MFA. 2. Ouvrir /fr/admin.</x:v>
      </x:c>
      <x:c r="I57" s="17" t="str">
        <x:v>Rôle customer</x:v>
      </x:c>
      <x:c r="J57" s="17" t="str">
        <x:v>Refus ou redirection, aucune donnée admin chargée.</x:v>
      </x:c>
      <x:c r="K57" s="21" t="str">
        <x:v>Preview Netlify</x:v>
      </x:c>
      <x:c r="L57" s="21" t="str"/>
      <x:c r="M57" s="22"/>
      <x:c r="N57" s="21" t="str">
        <x:v>À exécuter</x:v>
      </x:c>
      <x:c r="O57" s="17" t="str"/>
      <x:c r="P57" s="17" t="str"/>
      <x:c r="Q57" s="17" t="str"/>
      <x:c r="R57" s="17" t="str"/>
    </x:row>
    <x:row r="58" ht="74" customHeight="1">
      <x:c r="A58" s="20" t="str">
        <x:v>TC-054</x:v>
      </x:c>
      <x:c r="B58" s="17" t="str">
        <x:v>BackOffice</x:v>
      </x:c>
      <x:c r="C58" s="17" t="str">
        <x:v>Création produit</x:v>
      </x:c>
      <x:c r="D58" s="17" t="str">
        <x:v>Un admin crée un produit avec traduction et tarifs valides.</x:v>
      </x:c>
      <x:c r="E58" s="17" t="str">
        <x:v>Fonctionnel</x:v>
      </x:c>
      <x:c r="F58" s="21" t="str">
        <x:v>Haute</x:v>
      </x:c>
      <x:c r="G58" s="17" t="str">
        <x:v>Admin AAL2 et catégorie existante</x:v>
      </x:c>
      <x:c r="H58" s="17" t="str">
        <x:v>1. Créer. 2. Ajouter FR, EN, tarif et image. 3. Publier. 4. Ouvrir la fiche.</x:v>
      </x:c>
      <x:c r="I58" s="17" t="str">
        <x:v>Produit test unique</x:v>
      </x:c>
      <x:c r="J58" s="17" t="str">
        <x:v>Produit public cohérent dans les deux locales.</x:v>
      </x:c>
      <x:c r="K58" s="21" t="str">
        <x:v>Preview Netlify</x:v>
      </x:c>
      <x:c r="L58" s="21" t="str"/>
      <x:c r="M58" s="22"/>
      <x:c r="N58" s="21" t="str">
        <x:v>À exécuter</x:v>
      </x:c>
      <x:c r="O58" s="17" t="str"/>
      <x:c r="P58" s="17" t="str"/>
      <x:c r="Q58" s="17" t="str"/>
      <x:c r="R58" s="17" t="str"/>
    </x:row>
    <x:row r="59" ht="74" customHeight="1">
      <x:c r="A59" s="20" t="str">
        <x:v>TC-055</x:v>
      </x:c>
      <x:c r="B59" s="17" t="str">
        <x:v>BackOffice</x:v>
      </x:c>
      <x:c r="C59" s="17" t="str">
        <x:v>Ordre du formulaire produit</x:v>
      </x:c>
      <x:c r="D59" s="17" t="str">
        <x:v>La traduction anglaise précède les caractéristiques techniques.</x:v>
      </x:c>
      <x:c r="E59" s="17" t="str">
        <x:v>Non-régression</x:v>
      </x:c>
      <x:c r="F59" s="21" t="str">
        <x:v>Moyenne</x:v>
      </x:c>
      <x:c r="G59" s="17" t="str">
        <x:v>Admin AAL2</x:v>
      </x:c>
      <x:c r="H59" s="17" t="str">
        <x:v>1. Ouvrir l'édition d'un produit. 2. Examiner l'ordre et la croix de traduction.</x:v>
      </x:c>
      <x:c r="I59" s="17" t="str">
        <x:v>Produit traduit</x:v>
      </x:c>
      <x:c r="J59" s="17" t="str">
        <x:v>Conteneur EN puis caractéristiques, croix en haut à droite sans label.</x:v>
      </x:c>
      <x:c r="K59" s="21" t="str">
        <x:v>Preview Netlify</x:v>
      </x:c>
      <x:c r="L59" s="21" t="str"/>
      <x:c r="M59" s="22"/>
      <x:c r="N59" s="21" t="str">
        <x:v>À exécuter</x:v>
      </x:c>
      <x:c r="O59" s="17" t="str"/>
      <x:c r="P59" s="17" t="str"/>
      <x:c r="Q59" s="17" t="str"/>
      <x:c r="R59" s="17" t="str"/>
    </x:row>
    <x:row r="60" ht="74" customHeight="1">
      <x:c r="A60" s="20" t="str">
        <x:v>TC-056</x:v>
      </x:c>
      <x:c r="B60" s="17" t="str">
        <x:v>BackOffice</x:v>
      </x:c>
      <x:c r="C60" s="17" t="str">
        <x:v>Caractéristiques</x:v>
      </x:c>
      <x:c r="D60" s="17" t="str">
        <x:v>Les caractéristiques et traductions sont créées, ordonnées et supprimées correctement.</x:v>
      </x:c>
      <x:c r="E60" s="17" t="str">
        <x:v>Fonctionnel</x:v>
      </x:c>
      <x:c r="F60" s="21" t="str">
        <x:v>Moyenne</x:v>
      </x:c>
      <x:c r="G60" s="17" t="str">
        <x:v>Admin AAL2</x:v>
      </x:c>
      <x:c r="H60" s="17" t="str">
        <x:v>1. Ajouter deux caractéristiques. 2. Traduire. 3. Réordonner. 4. Supprimer une entrée.</x:v>
      </x:c>
      <x:c r="I60" s="17" t="str">
        <x:v>Clés techniques</x:v>
      </x:c>
      <x:c r="J60" s="17" t="str">
        <x:v>Ordre public cohérent et aucune relation orpheline.</x:v>
      </x:c>
      <x:c r="K60" s="21" t="str">
        <x:v>Preview Netlify</x:v>
      </x:c>
      <x:c r="L60" s="21" t="str"/>
      <x:c r="M60" s="22"/>
      <x:c r="N60" s="21" t="str">
        <x:v>À exécuter</x:v>
      </x:c>
      <x:c r="O60" s="17" t="str"/>
      <x:c r="P60" s="17" t="str"/>
      <x:c r="Q60" s="17" t="str"/>
      <x:c r="R60" s="17" t="str"/>
    </x:row>
    <x:row r="61" ht="74" customHeight="1">
      <x:c r="A61" s="20" t="str">
        <x:v>TC-057</x:v>
      </x:c>
      <x:c r="B61" s="17" t="str">
        <x:v>BackOffice</x:v>
      </x:c>
      <x:c r="C61" s="17" t="str">
        <x:v>Catégorie</x:v>
      </x:c>
      <x:c r="D61" s="17" t="str">
        <x:v>Le CRUD catégorie respecte traduction, image et dépendances.</x:v>
      </x:c>
      <x:c r="E61" s="17" t="str">
        <x:v>Fonctionnel</x:v>
      </x:c>
      <x:c r="F61" s="21" t="str">
        <x:v>Haute</x:v>
      </x:c>
      <x:c r="G61" s="17" t="str">
        <x:v>Admin AAL2</x:v>
      </x:c>
      <x:c r="H61" s="17" t="str">
        <x:v>1. Créer. 2. Traduire. 3. Modifier l'image. 4. Tester suppression avec produit lié.</x:v>
      </x:c>
      <x:c r="I61" s="17" t="str">
        <x:v>Catégorie test</x:v>
      </x:c>
      <x:c r="J61" s="17" t="str">
        <x:v>Affichage public correct et suppression bloquée si référencée.</x:v>
      </x:c>
      <x:c r="K61" s="21" t="str">
        <x:v>Preview Netlify</x:v>
      </x:c>
      <x:c r="L61" s="21" t="str"/>
      <x:c r="M61" s="22"/>
      <x:c r="N61" s="21" t="str">
        <x:v>À exécuter</x:v>
      </x:c>
      <x:c r="O61" s="17" t="str"/>
      <x:c r="P61" s="17" t="str"/>
      <x:c r="Q61" s="17" t="str"/>
      <x:c r="R61" s="17" t="str"/>
    </x:row>
    <x:row r="62" ht="74" customHeight="1">
      <x:c r="A62" s="20" t="str">
        <x:v>TC-058</x:v>
      </x:c>
      <x:c r="B62" s="17" t="str">
        <x:v>BackOffice</x:v>
      </x:c>
      <x:c r="C62" s="17" t="str">
        <x:v>Promotion</x:v>
      </x:c>
      <x:c r="D62" s="17" t="str">
        <x:v>Une promotion respecte dates, priorité et cible.</x:v>
      </x:c>
      <x:c r="E62" s="17" t="str">
        <x:v>Fonctionnel</x:v>
      </x:c>
      <x:c r="F62" s="21" t="str">
        <x:v>Haute</x:v>
      </x:c>
      <x:c r="G62" s="17" t="str">
        <x:v>Admin AAL2 et produits de test</x:v>
      </x:c>
      <x:c r="H62" s="17" t="str">
        <x:v>1. Créer une promotion. 2. Lier produit ou catégorie. 3. Tester avant, pendant et après la période.</x:v>
      </x:c>
      <x:c r="I62" s="17" t="str">
        <x:v>Remise de test</x:v>
      </x:c>
      <x:c r="J62" s="17" t="str">
        <x:v>Application uniquement dans la fenêtre et le périmètre.</x:v>
      </x:c>
      <x:c r="K62" s="21" t="str">
        <x:v>Preview Netlify</x:v>
      </x:c>
      <x:c r="L62" s="21" t="str"/>
      <x:c r="M62" s="22"/>
      <x:c r="N62" s="21" t="str">
        <x:v>À exécuter</x:v>
      </x:c>
      <x:c r="O62" s="17" t="str"/>
      <x:c r="P62" s="17" t="str"/>
      <x:c r="Q62" s="17" t="str"/>
      <x:c r="R62" s="17" t="str"/>
    </x:row>
    <x:row r="63" ht="74" customHeight="1">
      <x:c r="A63" s="20" t="str">
        <x:v>TC-059</x:v>
      </x:c>
      <x:c r="B63" s="17" t="str">
        <x:v>BackOffice</x:v>
      </x:c>
      <x:c r="C63" s="17" t="str">
        <x:v>Contenu accueil</x:v>
      </x:c>
      <x:c r="D63" s="17" t="str">
        <x:v>Carrousel, textes et CTA sont publiés sans URL locale.</x:v>
      </x:c>
      <x:c r="E63" s="17" t="str">
        <x:v>Fonctionnel</x:v>
      </x:c>
      <x:c r="F63" s="21" t="str">
        <x:v>Moyenne</x:v>
      </x:c>
      <x:c r="G63" s="17" t="str">
        <x:v>Admin AAL2</x:v>
      </x:c>
      <x:c r="H63" s="17" t="str">
        <x:v>1. Modifier un contenu de test. 2. Enregistrer. 3. Contrôler FR, EN et mobile.</x:v>
      </x:c>
      <x:c r="I63" s="17" t="str">
        <x:v>CTA vers route gérée</x:v>
      </x:c>
      <x:c r="J63" s="17" t="str">
        <x:v>Contenu publié et lien sur le domaine attendu.</x:v>
      </x:c>
      <x:c r="K63" s="21" t="str">
        <x:v>Preview Netlify</x:v>
      </x:c>
      <x:c r="L63" s="21" t="str"/>
      <x:c r="M63" s="22"/>
      <x:c r="N63" s="21" t="str">
        <x:v>À exécuter</x:v>
      </x:c>
      <x:c r="O63" s="17" t="str"/>
      <x:c r="P63" s="17" t="str"/>
      <x:c r="Q63" s="17" t="str"/>
      <x:c r="R63" s="17" t="str"/>
    </x:row>
    <x:row r="64" ht="74" customHeight="1">
      <x:c r="A64" s="20" t="str">
        <x:v>TC-060</x:v>
      </x:c>
      <x:c r="B64" s="17" t="str">
        <x:v>BackOffice</x:v>
      </x:c>
      <x:c r="C64" s="17" t="str">
        <x:v>Support admin</x:v>
      </x:c>
      <x:c r="D64" s="17" t="str">
        <x:v>Un admin autorisé consulte les tickets et leur contexte sans fuite croisée.</x:v>
      </x:c>
      <x:c r="E64" s="17" t="str">
        <x:v>Sécurité</x:v>
      </x:c>
      <x:c r="F64" s="21" t="str">
        <x:v>Haute</x:v>
      </x:c>
      <x:c r="G64" s="17" t="str">
        <x:v>Admin AAL2 et tickets</x:v>
      </x:c>
      <x:c r="H64" s="17" t="str">
        <x:v>1. Ouvrir la liste. 2. Filtrer. 3. Ouvrir un ticket. 4. Mettre à jour l'état.</x:v>
      </x:c>
      <x:c r="I64" s="17" t="str">
        <x:v>Tickets de plusieurs clients</x:v>
      </x:c>
      <x:c r="J64" s="17" t="str">
        <x:v>Données nécessaires seulement, audit cohérent.</x:v>
      </x:c>
      <x:c r="K64" s="21" t="str">
        <x:v>Preview Netlify</x:v>
      </x:c>
      <x:c r="L64" s="21" t="str"/>
      <x:c r="M64" s="22"/>
      <x:c r="N64" s="21" t="str">
        <x:v>À exécuter</x:v>
      </x:c>
      <x:c r="O64" s="17" t="str"/>
      <x:c r="P64" s="17" t="str"/>
      <x:c r="Q64" s="17" t="str"/>
      <x:c r="R64" s="17" t="str"/>
    </x:row>
    <x:row r="65" ht="74" customHeight="1">
      <x:c r="A65" s="20" t="str">
        <x:v>TC-061</x:v>
      </x:c>
      <x:c r="B65" s="17" t="str">
        <x:v>BackOffice</x:v>
      </x:c>
      <x:c r="C65" s="17" t="str">
        <x:v>Réinitialisation MFA</x:v>
      </x:c>
      <x:c r="D65" s="17" t="str">
        <x:v>La réinitialisation MFA exige second admin, ticket et audit.</x:v>
      </x:c>
      <x:c r="E65" s="17" t="str">
        <x:v>Sécurité</x:v>
      </x:c>
      <x:c r="F65" s="21" t="str">
        <x:v>Critique</x:v>
      </x:c>
      <x:c r="G65" s="17" t="str">
        <x:v>Deux admins et ticket d'accès valide</x:v>
      </x:c>
      <x:c r="H65" s="17" t="str">
        <x:v>1. Demander la réinitialisation. 2. Tester sans ticket. 3. Refaire avec ticket et second admin. 4. Lire l'audit.</x:v>
      </x:c>
      <x:c r="I65" s="17" t="str">
        <x:v>Compte admin cible</x:v>
      </x:c>
      <x:c r="J65" s="17" t="str">
        <x:v>Refus incomplet, succès contrôlé et trace mfa_reset_audit.</x:v>
      </x:c>
      <x:c r="K65" s="21" t="str">
        <x:v>Preview Netlify</x:v>
      </x:c>
      <x:c r="L65" s="21" t="str"/>
      <x:c r="M65" s="22"/>
      <x:c r="N65" s="21" t="str">
        <x:v>À exécuter</x:v>
      </x:c>
      <x:c r="O65" s="17" t="str"/>
      <x:c r="P65" s="17" t="str"/>
      <x:c r="Q65" s="17" t="str"/>
      <x:c r="R65" s="17" t="str"/>
    </x:row>
    <x:row r="66" ht="74" customHeight="1">
      <x:c r="A66" s="20" t="str">
        <x:v>TC-062</x:v>
      </x:c>
      <x:c r="B66" s="17" t="str">
        <x:v>Sales</x:v>
      </x:c>
      <x:c r="C66" s="17" t="str">
        <x:v>Période 7d</x:v>
      </x:c>
      <x:c r="D66" s="17" t="str">
        <x:v>Le chiffre d'affaires contient sept points journaliers, y compris les jours à zéro.</x:v>
      </x:c>
      <x:c r="E66" s="17" t="str">
        <x:v>Fonctionnel</x:v>
      </x:c>
      <x:c r="F66" s="21" t="str">
        <x:v>Haute</x:v>
      </x:c>
      <x:c r="G66" s="17" t="str">
        <x:v>Admin AAL2 et jeu de ventes</x:v>
      </x:c>
      <x:c r="H66" s="17" t="str">
        <x:v>1. Choisir 7 jours. 2. Compter les points. 3. Comparer aux commandes payées.</x:v>
      </x:c>
      <x:c r="I66" s="17" t="str">
        <x:v>Ventes sur jours discontinus</x:v>
      </x:c>
      <x:c r="J66" s="17" t="str">
        <x:v>Sept points calendaires et total exact.</x:v>
      </x:c>
      <x:c r="K66" s="21" t="str">
        <x:v>Preview Netlify</x:v>
      </x:c>
      <x:c r="L66" s="21" t="str"/>
      <x:c r="M66" s="22"/>
      <x:c r="N66" s="21" t="str">
        <x:v>À exécuter</x:v>
      </x:c>
      <x:c r="O66" s="17" t="str"/>
      <x:c r="P66" s="17" t="str"/>
      <x:c r="Q66" s="17" t="str"/>
      <x:c r="R66" s="17" t="str"/>
    </x:row>
    <x:row r="67" ht="74" customHeight="1">
      <x:c r="A67" s="20" t="str">
        <x:v>TC-063</x:v>
      </x:c>
      <x:c r="B67" s="17" t="str">
        <x:v>Sales</x:v>
      </x:c>
      <x:c r="C67" s="17" t="str">
        <x:v>Période 5w</x:v>
      </x:c>
      <x:c r="D67" s="17" t="str">
        <x:v>La période contient cinq semaines Europe/Paris du lundi au dimanche.</x:v>
      </x:c>
      <x:c r="E67" s="17" t="str">
        <x:v>Fonctionnel</x:v>
      </x:c>
      <x:c r="F67" s="21" t="str">
        <x:v>Haute</x:v>
      </x:c>
      <x:c r="G67" s="17" t="str">
        <x:v>Admin AAL2 et jeu couvrant un DST</x:v>
      </x:c>
      <x:c r="H67" s="17" t="str">
        <x:v>1. Choisir 5 semaines. 2. Compter les points. 3. Comparer les bornes.</x:v>
      </x:c>
      <x:c r="I67" s="17" t="str">
        <x:v>Passage heure été/hiver</x:v>
      </x:c>
      <x:c r="J67" s="17" t="str">
        <x:v>Cinq semaines sans décalage ni vente perdue.</x:v>
      </x:c>
      <x:c r="K67" s="21" t="str">
        <x:v>Preview Netlify</x:v>
      </x:c>
      <x:c r="L67" s="21" t="str"/>
      <x:c r="M67" s="22"/>
      <x:c r="N67" s="21" t="str">
        <x:v>À exécuter</x:v>
      </x:c>
      <x:c r="O67" s="17" t="str"/>
      <x:c r="P67" s="17" t="str"/>
      <x:c r="Q67" s="17" t="str"/>
      <x:c r="R67" s="17" t="str"/>
    </x:row>
    <x:row r="68" ht="74" customHeight="1">
      <x:c r="A68" s="20" t="str">
        <x:v>TC-064</x:v>
      </x:c>
      <x:c r="B68" s="17" t="str">
        <x:v>Sales</x:v>
      </x:c>
      <x:c r="C68" s="17" t="str">
        <x:v>Plage personnalisée</x:v>
      </x:c>
      <x:c r="D68" s="17" t="str">
        <x:v>Les dates valides choisissent une granularité adaptée.</x:v>
      </x:c>
      <x:c r="E68" s="17" t="str">
        <x:v>Fonctionnel</x:v>
      </x:c>
      <x:c r="F68" s="21" t="str">
        <x:v>Haute</x:v>
      </x:c>
      <x:c r="G68" s="17" t="str">
        <x:v>Admin AAL2</x:v>
      </x:c>
      <x:c r="H68" s="17" t="str">
        <x:v>1. Tester 10, 60 et 300 jours. 2. Contrôler titres et axes.</x:v>
      </x:c>
      <x:c r="I68" s="17" t="str">
        <x:v>Plages passées</x:v>
      </x:c>
      <x:c r="J68" s="17" t="str">
        <x:v>Jour, semaine ou mois cohérent, maximum 366 jours.</x:v>
      </x:c>
      <x:c r="K68" s="21" t="str">
        <x:v>Preview Netlify</x:v>
      </x:c>
      <x:c r="L68" s="21" t="str"/>
      <x:c r="M68" s="22"/>
      <x:c r="N68" s="21" t="str">
        <x:v>À exécuter</x:v>
      </x:c>
      <x:c r="O68" s="17" t="str"/>
      <x:c r="P68" s="17" t="str"/>
      <x:c r="Q68" s="17" t="str"/>
      <x:c r="R68" s="17" t="str"/>
    </x:row>
    <x:row r="69" ht="74" customHeight="1">
      <x:c r="A69" s="20" t="str">
        <x:v>TC-065</x:v>
      </x:c>
      <x:c r="B69" s="17" t="str">
        <x:v>Sales</x:v>
      </x:c>
      <x:c r="C69" s="17" t="str">
        <x:v>Gardes de dates</x:v>
      </x:c>
      <x:c r="D69" s="17" t="str">
        <x:v>Format, ordre, futur et durée excessive ont des erreurs distinctes.</x:v>
      </x:c>
      <x:c r="E69" s="17" t="str">
        <x:v>Sécurité</x:v>
      </x:c>
      <x:c r="F69" s="21" t="str">
        <x:v>Haute</x:v>
      </x:c>
      <x:c r="G69" s="17" t="str">
        <x:v>Admin AAL2</x:v>
      </x:c>
      <x:c r="H69" s="17" t="str">
        <x:v>1. Tester date impossible. 2. Inverser les bornes. 3. Utiliser demain. 4. Dépasser 366 jours.</x:v>
      </x:c>
      <x:c r="I69" s="17" t="str">
        <x:v>Cas invalides</x:v>
      </x:c>
      <x:c r="J69" s="17" t="str">
        <x:v>Erreur traduite spécifique, aucune requête lourde.</x:v>
      </x:c>
      <x:c r="K69" s="21" t="str">
        <x:v>Preview Netlify</x:v>
      </x:c>
      <x:c r="L69" s="21" t="str"/>
      <x:c r="M69" s="22"/>
      <x:c r="N69" s="21" t="str">
        <x:v>À exécuter</x:v>
      </x:c>
      <x:c r="O69" s="17" t="str"/>
      <x:c r="P69" s="17" t="str"/>
      <x:c r="Q69" s="17" t="str"/>
      <x:c r="R69" s="17" t="str"/>
    </x:row>
    <x:row r="70" ht="74" customHeight="1">
      <x:c r="A70" s="20" t="str">
        <x:v>TC-066</x:v>
      </x:c>
      <x:c r="B70" s="17" t="str">
        <x:v>Sales</x:v>
      </x:c>
      <x:c r="C70" s="17" t="str">
        <x:v>Paniers par catégorie</x:v>
      </x:c>
      <x:c r="D70" s="17" t="str">
        <x:v>Le panier moyen utilise sous-totaux et commandes distinctes.</x:v>
      </x:c>
      <x:c r="E70" s="17" t="str">
        <x:v>Fonctionnel</x:v>
      </x:c>
      <x:c r="F70" s="21" t="str">
        <x:v>Critique</x:v>
      </x:c>
      <x:c r="G70" s="17" t="str">
        <x:v>Jeu avec plusieurs lignes par catégorie</x:v>
      </x:c>
      <x:c r="H70" s="17" t="str">
        <x:v>1. Calculer manuellement. 2. Lire les segments et infobulles. 3. Comparer.</x:v>
      </x:c>
      <x:c r="I70" s="17" t="str">
        <x:v>Commandes multi-lignes</x:v>
      </x:c>
      <x:c r="J70" s="17" t="str">
        <x:v>Montant, CA et nombre de commandes exacts à deux décimales.</x:v>
      </x:c>
      <x:c r="K70" s="21" t="str">
        <x:v>Preview Netlify</x:v>
      </x:c>
      <x:c r="L70" s="21" t="str"/>
      <x:c r="M70" s="22"/>
      <x:c r="N70" s="21" t="str">
        <x:v>À exécuter</x:v>
      </x:c>
      <x:c r="O70" s="17" t="str"/>
      <x:c r="P70" s="17" t="str"/>
      <x:c r="Q70" s="17" t="str"/>
      <x:c r="R70" s="17" t="str"/>
    </x:row>
    <x:row r="71" ht="74" customHeight="1">
      <x:c r="A71" s="20" t="str">
        <x:v>TC-067</x:v>
      </x:c>
      <x:c r="B71" s="17" t="str">
        <x:v>Sales</x:v>
      </x:c>
      <x:c r="C71" s="17" t="str">
        <x:v>Couleurs</x:v>
      </x:c>
      <x:c r="D71" s="17" t="str">
        <x:v>Dix couleurs violettes programmées restent distinctes et stables.</x:v>
      </x:c>
      <x:c r="E71" s="17" t="str">
        <x:v>Non-régression</x:v>
      </x:c>
      <x:c r="F71" s="21" t="str">
        <x:v>Moyenne</x:v>
      </x:c>
      <x:c r="G71" s="17" t="str">
        <x:v>Au moins cinq catégories</x:v>
      </x:c>
      <x:c r="H71" s="17" t="str">
        <x:v>1. Ouvrir histogramme et camembert. 2. Recharger. 3. Changer la période.</x:v>
      </x:c>
      <x:c r="I71" s="17" t="str">
        <x:v>Catégories variées</x:v>
      </x:c>
      <x:c r="J71" s="17" t="str">
        <x:v>Même identifiant, même couleur ; couleurs visuellement distinctes.</x:v>
      </x:c>
      <x:c r="K71" s="21" t="str">
        <x:v>Preview Netlify</x:v>
      </x:c>
      <x:c r="L71" s="21" t="str"/>
      <x:c r="M71" s="22"/>
      <x:c r="N71" s="21" t="str">
        <x:v>À exécuter</x:v>
      </x:c>
      <x:c r="O71" s="17" t="str"/>
      <x:c r="P71" s="17" t="str"/>
      <x:c r="Q71" s="17" t="str"/>
      <x:c r="R71" s="17" t="str"/>
    </x:row>
    <x:row r="72" ht="74" customHeight="1">
      <x:c r="A72" s="20" t="str">
        <x:v>TC-068</x:v>
      </x:c>
      <x:c r="B72" s="17" t="str">
        <x:v>Sales</x:v>
      </x:c>
      <x:c r="C72" s="17" t="str">
        <x:v>Groupe Autres</x:v>
      </x:c>
      <x:c r="D72" s="17" t="str">
        <x:v>Les catégories secondaires couvrent le CA sans double compter les commandes.</x:v>
      </x:c>
      <x:c r="E72" s="17" t="str">
        <x:v>Fonctionnel</x:v>
      </x:c>
      <x:c r="F72" s="21" t="str">
        <x:v>Haute</x:v>
      </x:c>
      <x:c r="G72" s="17" t="str">
        <x:v>Plus de sept catégories</x:v>
      </x:c>
      <x:c r="H72" s="17" t="str">
        <x:v>1. Créer une commande avec plusieurs catégories secondaires. 2. Comparer le groupe Autres.</x:v>
      </x:c>
      <x:c r="I72" s="17" t="str">
        <x:v>Jeu de ventes dédié</x:v>
      </x:c>
      <x:c r="J72" s="17" t="str">
        <x:v>CA exhaustif et dénominateur distinct par commande.</x:v>
      </x:c>
      <x:c r="K72" s="21" t="str">
        <x:v>Preview Netlify</x:v>
      </x:c>
      <x:c r="L72" s="21" t="str"/>
      <x:c r="M72" s="22"/>
      <x:c r="N72" s="21" t="str">
        <x:v>À exécuter</x:v>
      </x:c>
      <x:c r="O72" s="17" t="str"/>
      <x:c r="P72" s="17" t="str"/>
      <x:c r="Q72" s="17" t="str"/>
      <x:c r="R72" s="17" t="str"/>
    </x:row>
    <x:row r="73" ht="74" customHeight="1">
      <x:c r="A73" s="20" t="str">
        <x:v>TC-069</x:v>
      </x:c>
      <x:c r="B73" s="17" t="str">
        <x:v>Sales</x:v>
      </x:c>
      <x:c r="C73" s="17" t="str">
        <x:v>Filtres par graphique</x:v>
      </x:c>
      <x:c r="D73" s="17" t="str">
        <x:v>Un filtre local change uniquement le graphique concerné.</x:v>
      </x:c>
      <x:c r="E73" s="17" t="str">
        <x:v>Fonctionnel</x:v>
      </x:c>
      <x:c r="F73" s="21" t="str">
        <x:v>Moyenne</x:v>
      </x:c>
      <x:c r="G73" s="17" t="str">
        <x:v>Admin AAL2</x:v>
      </x:c>
      <x:c r="H73" s="17" t="str">
        <x:v>1. Choisir une période générale. 2. Modifier le filtre d'un graphique. 3. Observer les autres.</x:v>
      </x:c>
      <x:c r="I73" s="17" t="str">
        <x:v>7d puis filtre local</x:v>
      </x:c>
      <x:c r="J73" s="17" t="str">
        <x:v>Graphique ciblé mis à jour, autres inchangés.</x:v>
      </x:c>
      <x:c r="K73" s="21" t="str">
        <x:v>Preview Netlify</x:v>
      </x:c>
      <x:c r="L73" s="21" t="str"/>
      <x:c r="M73" s="22"/>
      <x:c r="N73" s="21" t="str">
        <x:v>À exécuter</x:v>
      </x:c>
      <x:c r="O73" s="17" t="str"/>
      <x:c r="P73" s="17" t="str"/>
      <x:c r="Q73" s="17" t="str"/>
      <x:c r="R73" s="17" t="str"/>
    </x:row>
    <x:row r="74" ht="74" customHeight="1">
      <x:c r="A74" s="20" t="str">
        <x:v>TC-070</x:v>
      </x:c>
      <x:c r="B74" s="17" t="str">
        <x:v>PDF</x:v>
      </x:c>
      <x:c r="C74" s="17" t="str">
        <x:v>Rapport 7d</x:v>
      </x:c>
      <x:c r="D74" s="17" t="str">
        <x:v>Le PDF réutilise les agrégations et contient les trois graphiques.</x:v>
      </x:c>
      <x:c r="E74" s="17" t="str">
        <x:v>Fonctionnel</x:v>
      </x:c>
      <x:c r="F74" s="21" t="str">
        <x:v>Critique</x:v>
      </x:c>
      <x:c r="G74" s="17" t="str">
        <x:v>Admin AAL2 et rapport disponible</x:v>
      </x:c>
      <x:c r="H74" s="17" t="str">
        <x:v>1. Générer en 7d. 2. Comparer KPI et graphiques avec la page. 3. Extraire le texte.</x:v>
      </x:c>
      <x:c r="I74" s="17" t="str">
        <x:v>Même jeu de données</x:v>
      </x:c>
      <x:c r="J74" s="17" t="str">
        <x:v>Première page paysage, montants identiques, aucune valeur NaN ou Infinity.</x:v>
      </x:c>
      <x:c r="K74" s="21" t="str">
        <x:v>Preview Netlify</x:v>
      </x:c>
      <x:c r="L74" s="21" t="str"/>
      <x:c r="M74" s="22"/>
      <x:c r="N74" s="21" t="str">
        <x:v>À exécuter</x:v>
      </x:c>
      <x:c r="O74" s="17" t="str"/>
      <x:c r="P74" s="17" t="str"/>
      <x:c r="Q74" s="17" t="str"/>
      <x:c r="R74" s="17" t="str"/>
    </x:row>
    <x:row r="75" ht="74" customHeight="1">
      <x:c r="A75" s="20" t="str">
        <x:v>TC-071</x:v>
      </x:c>
      <x:c r="B75" s="17" t="str">
        <x:v>PDF</x:v>
      </x:c>
      <x:c r="C75" s="17" t="str">
        <x:v>Rapport 5w et custom</x:v>
      </x:c>
      <x:c r="D75" s="17" t="str">
        <x:v>Les deux autres présets produisent des pages lisibles et paginées.</x:v>
      </x:c>
      <x:c r="E75" s="17" t="str">
        <x:v>Non-régression</x:v>
      </x:c>
      <x:c r="F75" s="21" t="str">
        <x:v>Haute</x:v>
      </x:c>
      <x:c r="G75" s="17" t="str">
        <x:v>Admin AAL2</x:v>
      </x:c>
      <x:c r="H75" s="17" t="str">
        <x:v>1. Générer 5w. 2. Générer custom. 3. Rendre chaque page en PNG.</x:v>
      </x:c>
      <x:c r="I75" s="17" t="str">
        <x:v>5 semaines et 90 jours</x:v>
      </x:c>
      <x:c r="J75" s="17" t="str">
        <x:v>Graphiques, catégories, montants et pagination lisibles.</x:v>
      </x:c>
      <x:c r="K75" s="21" t="str">
        <x:v>Preview Netlify</x:v>
      </x:c>
      <x:c r="L75" s="21" t="str"/>
      <x:c r="M75" s="22"/>
      <x:c r="N75" s="21" t="str">
        <x:v>À exécuter</x:v>
      </x:c>
      <x:c r="O75" s="17" t="str"/>
      <x:c r="P75" s="17" t="str"/>
      <x:c r="Q75" s="17" t="str"/>
      <x:c r="R75" s="17" t="str"/>
    </x:row>
    <x:row r="76" ht="74" customHeight="1">
      <x:c r="A76" s="20" t="str">
        <x:v>TC-072</x:v>
      </x:c>
      <x:c r="B76" s="17" t="str">
        <x:v>CI/CD</x:v>
      </x:c>
      <x:c r="C76" s="17" t="str">
        <x:v>Workflow quality</x:v>
      </x:c>
      <x:c r="D76" s="17" t="str">
        <x:v>La CI s'exécute sur PR et push vers dev et prod.</x:v>
      </x:c>
      <x:c r="E76" s="17" t="str">
        <x:v>Exploitation</x:v>
      </x:c>
      <x:c r="F76" s="21" t="str">
        <x:v>Critique</x:v>
      </x:c>
      <x:c r="G76" s="17" t="str">
        <x:v>Branche avec changement sans secret</x:v>
      </x:c>
      <x:c r="H76" s="17" t="str">
        <x:v>1. Ouvrir un PR vers dev. 2. Observer CI / quality. 3. Contrôler les étapes.</x:v>
      </x:c>
      <x:c r="I76" s="17" t="str">
        <x:v>Commit de test</x:v>
      </x:c>
      <x:c r="J76" s="17" t="str">
        <x:v>npm ci, lint, tests, audit high et build verts.</x:v>
      </x:c>
      <x:c r="K76" s="21" t="str">
        <x:v>Preview Netlify</x:v>
      </x:c>
      <x:c r="L76" s="21" t="str"/>
      <x:c r="M76" s="22"/>
      <x:c r="N76" s="21" t="str">
        <x:v>À exécuter</x:v>
      </x:c>
      <x:c r="O76" s="17" t="str"/>
      <x:c r="P76" s="17" t="str"/>
      <x:c r="Q76" s="17" t="str"/>
      <x:c r="R76" s="17" t="str"/>
    </x:row>
    <x:row r="77" ht="74" customHeight="1">
      <x:c r="A77" s="20" t="str">
        <x:v>TC-073</x:v>
      </x:c>
      <x:c r="B77" s="17" t="str">
        <x:v>CI/CD</x:v>
      </x:c>
      <x:c r="C77" s="17" t="str">
        <x:v>Annulation obsolète</x:v>
      </x:c>
      <x:c r="D77" s="17" t="str">
        <x:v>Un nouveau commit annule l'exécution précédente de la même branche.</x:v>
      </x:c>
      <x:c r="E77" s="17" t="str">
        <x:v>Exploitation</x:v>
      </x:c>
      <x:c r="F77" s="21" t="str">
        <x:v>Moyenne</x:v>
      </x:c>
      <x:c r="G77" s="17" t="str">
        <x:v>PR avec CI en cours</x:v>
      </x:c>
      <x:c r="H77" s="17" t="str">
        <x:v>1. Pousser un commit. 2. Pousser rapidement un second. 3. Observer les runs.</x:v>
      </x:c>
      <x:c r="I77" s="17" t="str">
        <x:v>Deux commits</x:v>
      </x:c>
      <x:c r="J77" s="17" t="str">
        <x:v>Ancien run annulé et dernier commit contrôlé.</x:v>
      </x:c>
      <x:c r="K77" s="21" t="str">
        <x:v>Preview Netlify</x:v>
      </x:c>
      <x:c r="L77" s="21" t="str"/>
      <x:c r="M77" s="22"/>
      <x:c r="N77" s="21" t="str">
        <x:v>À exécuter</x:v>
      </x:c>
      <x:c r="O77" s="17" t="str"/>
      <x:c r="P77" s="17" t="str"/>
      <x:c r="Q77" s="17" t="str"/>
      <x:c r="R77" s="17" t="str"/>
    </x:row>
    <x:row r="78" ht="74" customHeight="1">
      <x:c r="A78" s="20" t="str">
        <x:v>TC-074</x:v>
      </x:c>
      <x:c r="B78" s="17" t="str">
        <x:v>CI/CD</x:v>
      </x:c>
      <x:c r="C78" s="17" t="str">
        <x:v>Audit production</x:v>
      </x:c>
      <x:c r="D78" s="17" t="str">
        <x:v>Une vulnérabilité haute de production bloque la CI.</x:v>
      </x:c>
      <x:c r="E78" s="17" t="str">
        <x:v>Sécurité</x:v>
      </x:c>
      <x:c r="F78" s="21" t="str">
        <x:v>Critique</x:v>
      </x:c>
      <x:c r="G78" s="17" t="str">
        <x:v>Test isolé réversible</x:v>
      </x:c>
      <x:c r="H78" s="17" t="str">
        <x:v>1. Utiliser un lockfile de test vulnérable. 2. Lancer l'audit. 3. Restaurer.</x:v>
      </x:c>
      <x:c r="I78" s="17" t="str">
        <x:v>Dépendance de laboratoire</x:v>
      </x:c>
      <x:c r="J78" s="17" t="str">
        <x:v>Code non nul et job rouge.</x:v>
      </x:c>
      <x:c r="K78" s="21" t="str">
        <x:v>Local</x:v>
      </x:c>
      <x:c r="L78" s="21" t="str"/>
      <x:c r="M78" s="22"/>
      <x:c r="N78" s="21" t="str">
        <x:v>À exécuter</x:v>
      </x:c>
      <x:c r="O78" s="17" t="str"/>
      <x:c r="P78" s="17" t="str"/>
      <x:c r="Q78" s="17" t="str"/>
      <x:c r="R78" s="17" t="str"/>
    </x:row>
    <x:row r="79" ht="74" customHeight="1">
      <x:c r="A79" s="20" t="str">
        <x:v>TC-075</x:v>
      </x:c>
      <x:c r="B79" s="17" t="str">
        <x:v>Netlify</x:v>
      </x:c>
      <x:c r="C79" s="17" t="str">
        <x:v>Deploy Preview</x:v>
      </x:c>
      <x:c r="D79" s="17" t="str">
        <x:v>Le PR produit une preview Next.js fonctionnelle.</x:v>
      </x:c>
      <x:c r="E79" s="17" t="str">
        <x:v>Exploitation</x:v>
      </x:c>
      <x:c r="F79" s="21" t="str">
        <x:v>Critique</x:v>
      </x:c>
      <x:c r="G79" s="17" t="str">
        <x:v>Site Netlify relié au dépôt</x:v>
      </x:c>
      <x:c r="H79" s="17" t="str">
        <x:v>1. Ouvrir le PR. 2. Attendre le déploiement. 3. Exécuter smoke:routes.</x:v>
      </x:c>
      <x:c r="I79" s="17" t="str">
        <x:v>Node 22 et plugin Next.js</x:v>
      </x:c>
      <x:c r="J79" s="17" t="str">
        <x:v>Preview accessible, SSR et route handlers fonctionnels.</x:v>
      </x:c>
      <x:c r="K79" s="21" t="str">
        <x:v>Preview Netlify</x:v>
      </x:c>
      <x:c r="L79" s="21" t="str"/>
      <x:c r="M79" s="22"/>
      <x:c r="N79" s="21" t="str">
        <x:v>À exécuter</x:v>
      </x:c>
      <x:c r="O79" s="17" t="str"/>
      <x:c r="P79" s="17" t="str"/>
      <x:c r="Q79" s="17" t="str"/>
      <x:c r="R79" s="17" t="str"/>
    </x:row>
    <x:row r="80" ht="74" customHeight="1">
      <x:c r="A80" s="20" t="str">
        <x:v>TC-076</x:v>
      </x:c>
      <x:c r="B80" s="17" t="str">
        <x:v>Netlify</x:v>
      </x:c>
      <x:c r="C80" s="17" t="str">
        <x:v>Variables par contexte</x:v>
      </x:c>
      <x:c r="D80" s="17" t="str">
        <x:v>Les previews n'utilisent pas de secrets live.</x:v>
      </x:c>
      <x:c r="E80" s="17" t="str">
        <x:v>Sécurité</x:v>
      </x:c>
      <x:c r="F80" s="21" t="str">
        <x:v>Critique</x:v>
      </x:c>
      <x:c r="G80" s="17" t="str">
        <x:v>Accès configuration Netlify</x:v>
      </x:c>
      <x:c r="H80" s="17" t="str">
        <x:v>1. Comparer variables Preview et Production. 2. Contrôler les logs de build.</x:v>
      </x:c>
      <x:c r="I80" s="17" t="str">
        <x:v>Noms de variables, jamais les valeurs</x:v>
      </x:c>
      <x:c r="J80" s="17" t="str">
        <x:v>Secrets live limités à Production et absents des logs.</x:v>
      </x:c>
      <x:c r="K80" s="21" t="str">
        <x:v>Production Netlify</x:v>
      </x:c>
      <x:c r="L80" s="21" t="str"/>
      <x:c r="M80" s="22"/>
      <x:c r="N80" s="21" t="str">
        <x:v>À exécuter</x:v>
      </x:c>
      <x:c r="O80" s="17" t="str"/>
      <x:c r="P80" s="17" t="str"/>
      <x:c r="Q80" s="17" t="str"/>
      <x:c r="R80" s="17" t="str"/>
    </x:row>
    <x:row r="81" ht="74" customHeight="1">
      <x:c r="A81" s="20" t="str">
        <x:v>TC-077</x:v>
      </x:c>
      <x:c r="B81" s="17" t="str">
        <x:v>Netlify</x:v>
      </x:c>
      <x:c r="C81" s="17" t="str">
        <x:v>Production</x:v>
      </x:c>
      <x:c r="D81" s="17" t="str">
        <x:v>La fusion contrôlée vers prod déploie le commit validé.</x:v>
      </x:c>
      <x:c r="E81" s="17" t="str">
        <x:v>Exploitation</x:v>
      </x:c>
      <x:c r="F81" s="21" t="str">
        <x:v>Critique</x:v>
      </x:c>
      <x:c r="G81" s="17" t="str">
        <x:v>CI et preview vertes, approbation humaine</x:v>
      </x:c>
      <x:c r="H81" s="17" t="str">
        <x:v>1. Fusionner dev vers prod. 2. Comparer le SHA. 3. Relancer le smoke test.</x:v>
      </x:c>
      <x:c r="I81" s="17" t="str">
        <x:v>Commit de release</x:v>
      </x:c>
      <x:c r="J81" s="17" t="str">
        <x:v>Production sur le bon SHA, parcours critiques verts.</x:v>
      </x:c>
      <x:c r="K81" s="21" t="str">
        <x:v>Production Netlify</x:v>
      </x:c>
      <x:c r="L81" s="21" t="str"/>
      <x:c r="M81" s="22"/>
      <x:c r="N81" s="21" t="str">
        <x:v>À exécuter</x:v>
      </x:c>
      <x:c r="O81" s="17" t="str"/>
      <x:c r="P81" s="17" t="str"/>
      <x:c r="Q81" s="17" t="str"/>
      <x:c r="R81" s="17" t="str"/>
    </x:row>
    <x:row r="82" ht="74" customHeight="1">
      <x:c r="A82" s="20" t="str">
        <x:v>TC-078</x:v>
      </x:c>
      <x:c r="B82" s="17" t="str">
        <x:v>Sentry</x:v>
      </x:c>
      <x:c r="C82" s="17" t="str">
        <x:v>Erreur contrôlée</x:v>
      </x:c>
      <x:c r="D82" s="17" t="str">
        <x:v>Une erreur de production remonte avec une source map lisible.</x:v>
      </x:c>
      <x:c r="E82" s="17" t="str">
        <x:v>Exploitation</x:v>
      </x:c>
      <x:c r="F82" s="21" t="str">
        <x:v>Haute</x:v>
      </x:c>
      <x:c r="G82" s="17" t="str">
        <x:v>DSN, org, projet et token configurés en Production</x:v>
      </x:c>
      <x:c r="H82" s="17" t="str">
        <x:v>1. Déclencher une erreur de test sans PII. 2. Ouvrir l'événement. 3. Lire la stack.</x:v>
      </x:c>
      <x:c r="I82" s="17" t="str">
        <x:v>Erreur sentinelle</x:v>
      </x:c>
      <x:c r="J82" s="17" t="str">
        <x:v>Un seul événement, stack source-mappée et alerte e-mail.</x:v>
      </x:c>
      <x:c r="K82" s="21" t="str">
        <x:v>Production Netlify</x:v>
      </x:c>
      <x:c r="L82" s="21" t="str"/>
      <x:c r="M82" s="22"/>
      <x:c r="N82" s="21" t="str">
        <x:v>À exécuter</x:v>
      </x:c>
      <x:c r="O82" s="17" t="str"/>
      <x:c r="P82" s="17" t="str"/>
      <x:c r="Q82" s="17" t="str"/>
      <x:c r="R82" s="17" t="str"/>
    </x:row>
    <x:row r="83" ht="74" customHeight="1">
      <x:c r="A83" s="20" t="str">
        <x:v>TC-079</x:v>
      </x:c>
      <x:c r="B83" s="17" t="str">
        <x:v>Sentry</x:v>
      </x:c>
      <x:c r="C83" s="17" t="str">
        <x:v>Filtrage PII</x:v>
      </x:c>
      <x:c r="D83" s="17" t="str">
        <x:v>Corps, cookies, authorization et utilisateur sont supprimés.</x:v>
      </x:c>
      <x:c r="E83" s="17" t="str">
        <x:v>Sécurité</x:v>
      </x:c>
      <x:c r="F83" s="21" t="str">
        <x:v>Critique</x:v>
      </x:c>
      <x:c r="G83" s="17" t="str">
        <x:v>Environnement isolé avec DSN de test</x:v>
      </x:c>
      <x:c r="H83" s="17" t="str">
        <x:v>1. Capturer un événement factice contenant des marqueurs. 2. Examiner l'événement reçu.</x:v>
      </x:c>
      <x:c r="I83" s="17" t="str">
        <x:v>Valeurs sentinelles non réelles</x:v>
      </x:c>
      <x:c r="J83" s="17" t="str">
        <x:v>Aucun marqueur sensible présent ; tags techniques conservés.</x:v>
      </x:c>
      <x:c r="K83" s="21" t="str">
        <x:v>Preview Netlify</x:v>
      </x:c>
      <x:c r="L83" s="21" t="str"/>
      <x:c r="M83" s="22"/>
      <x:c r="N83" s="21" t="str">
        <x:v>À exécuter</x:v>
      </x:c>
      <x:c r="O83" s="17" t="str"/>
      <x:c r="P83" s="17" t="str"/>
      <x:c r="Q83" s="17" t="str"/>
      <x:c r="R83" s="17" t="str"/>
    </x:row>
    <x:row r="84" ht="74" customHeight="1">
      <x:c r="A84" s="20" t="str">
        <x:v>TC-080</x:v>
      </x:c>
      <x:c r="B84" s="17" t="str">
        <x:v>Maintenance</x:v>
      </x:c>
      <x:c r="C84" s="17" t="str">
        <x:v>Rollback</x:v>
      </x:c>
      <x:c r="D84" s="17" t="str">
        <x:v>Le déploiement précédent peut être restauré puis vérifié.</x:v>
      </x:c>
      <x:c r="E84" s="17" t="str">
        <x:v>Exploitation</x:v>
      </x:c>
      <x:c r="F84" s="21" t="str">
        <x:v>Haute</x:v>
      </x:c>
      <x:c r="G84" s="17" t="str">
        <x:v>Fenêtre de test et déploiement sain connu</x:v>
      </x:c>
      <x:c r="H84" s="17" t="str">
        <x:v>1. Déployer une version sentinelle. 2. Restaurer la précédente. 3. Exécuter le smoke test.</x:v>
      </x:c>
      <x:c r="I84" s="17" t="str">
        <x:v>Aucune migration destructive</x:v>
      </x:c>
      <x:c r="J84" s="17" t="str">
        <x:v>Code restauré, routes et webhook opérationnels.</x:v>
      </x:c>
      <x:c r="K84" s="21" t="str">
        <x:v>Preview Netlify</x:v>
      </x:c>
      <x:c r="L84" s="21" t="str"/>
      <x:c r="M84" s="22"/>
      <x:c r="N84" s="21" t="str">
        <x:v>À exécuter</x:v>
      </x:c>
      <x:c r="O84" s="17" t="str"/>
      <x:c r="P84" s="17" t="str"/>
      <x:c r="Q84" s="17" t="str"/>
      <x:c r="R84" s="17" t="str"/>
    </x:row>
  </x:sheetData>
  <x:mergeCells>
    <x:mergeCell ref="A1:R1"/>
    <x:mergeCell ref="A2:R2"/>
  </x:mergeCells>
  <x:conditionalFormatting sqref="N5:N250">
    <x:cfRule type="expression" dxfId="0" priority="1">
      <x:formula>N5="Réussi"</x:formula>
    </x:cfRule>
    <x:cfRule type="expression" dxfId="1" priority="2">
      <x:formula>N5="Échoué"</x:formula>
    </x:cfRule>
    <x:cfRule type="expression" dxfId="2" priority="3">
      <x:formula>N5="Bloqué"</x:formula>
    </x:cfRule>
    <x:cfRule type="expression" dxfId="3" priority="4">
      <x:formula>N5="À exécuter"</x:formula>
    </x:cfRule>
  </x:conditionalFormatting>
  <x:dataValidations count="5">
    <x:dataValidation type="list" sqref="B5:B250">
      <x:formula1>Référentiels!$A$2:$A$17</x:formula1>
    </x:dataValidation>
    <x:dataValidation type="list" sqref="E5:E250">
      <x:formula1>Référentiels!$B$2:$B$8</x:formula1>
    </x:dataValidation>
    <x:dataValidation type="list" sqref="F5:F250">
      <x:formula1>Référentiels!$C$2:$C$5</x:formula1>
    </x:dataValidation>
    <x:dataValidation type="list" sqref="K5:K250">
      <x:formula1>Référentiels!$D$2:$D$6</x:formula1>
    </x:dataValidation>
    <x:dataValidation type="list" sqref="N5:N250">
      <x:formula1>Référentiels!$E$2:$E$6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8414400d614ef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</x:cols>
  <x:sheetData>
    <x:row r="1" ht="28" customHeight="1">
      <x:c r="A1" s="27" t="str">
        <x:v>Domaines</x:v>
      </x:c>
      <x:c r="B1" s="27" t="str">
        <x:v>Types</x:v>
      </x:c>
      <x:c r="C1" s="27" t="str">
        <x:v>Priorités</x:v>
      </x:c>
      <x:c r="D1" s="27" t="str">
        <x:v>Environnements</x:v>
      </x:c>
      <x:c r="E1" s="27" t="str">
        <x:v>Statuts</x:v>
      </x:c>
    </x:row>
    <x:row r="2">
      <x:c r="A2" s="28" t="str">
        <x:v>Navigation</x:v>
      </x:c>
      <x:c r="B2" s="28" t="str">
        <x:v>Fonctionnel</x:v>
      </x:c>
      <x:c r="C2" s="28" t="str">
        <x:v>Critique</x:v>
      </x:c>
      <x:c r="D2" s="28" t="str">
        <x:v>Local</x:v>
      </x:c>
      <x:c r="E2" s="28" t="str">
        <x:v>À exécuter</x:v>
      </x:c>
    </x:row>
    <x:row r="3">
      <x:c r="A3" s="28" t="str">
        <x:v>Accessibilité</x:v>
      </x:c>
      <x:c r="B3" s="28" t="str">
        <x:v>Intégration</x:v>
      </x:c>
      <x:c r="C3" s="28" t="str">
        <x:v>Haute</x:v>
      </x:c>
      <x:c r="D3" s="28" t="str">
        <x:v>Supabase local</x:v>
      </x:c>
      <x:c r="E3" s="28" t="str">
        <x:v>Réussi</x:v>
      </x:c>
    </x:row>
    <x:row r="4">
      <x:c r="A4" s="28" t="str">
        <x:v>Responsive</x:v>
      </x:c>
      <x:c r="B4" s="28" t="str">
        <x:v>Sécurité</x:v>
      </x:c>
      <x:c r="C4" s="28" t="str">
        <x:v>Moyenne</x:v>
      </x:c>
      <x:c r="D4" s="28" t="str">
        <x:v>Stripe test</x:v>
      </x:c>
      <x:c r="E4" s="28" t="str">
        <x:v>Échoué</x:v>
      </x:c>
    </x:row>
    <x:row r="5">
      <x:c r="A5" s="28" t="str">
        <x:v>Authentification</x:v>
      </x:c>
      <x:c r="B5" s="28" t="str">
        <x:v>Accessibilité</x:v>
      </x:c>
      <x:c r="C5" s="28" t="str">
        <x:v>Basse</x:v>
      </x:c>
      <x:c r="D5" s="28" t="str">
        <x:v>Preview Netlify</x:v>
      </x:c>
      <x:c r="E5" s="28" t="str">
        <x:v>Bloqué</x:v>
      </x:c>
    </x:row>
    <x:row r="6">
      <x:c r="A6" s="28" t="str">
        <x:v>Catalogue</x:v>
      </x:c>
      <x:c r="B6" s="28" t="str">
        <x:v>Responsive</x:v>
      </x:c>
      <x:c r="C6" s="28"/>
      <x:c r="D6" s="28" t="str">
        <x:v>Production Netlify</x:v>
      </x:c>
      <x:c r="E6" s="28" t="str">
        <x:v>Non applicable</x:v>
      </x:c>
    </x:row>
    <x:row r="7">
      <x:c r="A7" s="28" t="str">
        <x:v>Recherche</x:v>
      </x:c>
      <x:c r="B7" s="28" t="str">
        <x:v>Non-régression</x:v>
      </x:c>
      <x:c r="C7" s="28"/>
      <x:c r="D7" s="28"/>
      <x:c r="E7" s="28"/>
    </x:row>
    <x:row r="8">
      <x:c r="A8" s="28" t="str">
        <x:v>Panier</x:v>
      </x:c>
      <x:c r="B8" s="28" t="str">
        <x:v>Exploitation</x:v>
      </x:c>
      <x:c r="C8" s="28"/>
      <x:c r="D8" s="28"/>
      <x:c r="E8" s="28"/>
    </x:row>
    <x:row r="9">
      <x:c r="A9" s="28" t="str">
        <x:v>Checkout</x:v>
      </x:c>
      <x:c r="B9" s="28"/>
      <x:c r="C9" s="28"/>
      <x:c r="D9" s="28"/>
      <x:c r="E9" s="28"/>
    </x:row>
    <x:row r="10">
      <x:c r="A10" s="28" t="str">
        <x:v>Stripe</x:v>
      </x:c>
      <x:c r="B10" s="28"/>
      <x:c r="C10" s="28"/>
      <x:c r="D10" s="28"/>
      <x:c r="E10" s="28"/>
    </x:row>
    <x:row r="11">
      <x:c r="A11" s="28" t="str">
        <x:v>Espace client</x:v>
      </x:c>
      <x:c r="B11" s="28"/>
      <x:c r="C11" s="28"/>
      <x:c r="D11" s="28"/>
      <x:c r="E11" s="28"/>
    </x:row>
    <x:row r="12">
      <x:c r="A12" s="28" t="str">
        <x:v>Abonnements</x:v>
      </x:c>
      <x:c r="B12" s="28"/>
      <x:c r="C12" s="28"/>
      <x:c r="D12" s="28"/>
      <x:c r="E12" s="28"/>
    </x:row>
    <x:row r="13">
      <x:c r="A13" s="28" t="str">
        <x:v>Support</x:v>
      </x:c>
      <x:c r="B13" s="28"/>
      <x:c r="C13" s="28"/>
      <x:c r="D13" s="28"/>
      <x:c r="E13" s="28"/>
    </x:row>
    <x:row r="14">
      <x:c r="A14" s="28" t="str">
        <x:v>CynAI</x:v>
      </x:c>
      <x:c r="B14" s="28"/>
      <x:c r="C14" s="28"/>
      <x:c r="D14" s="28"/>
      <x:c r="E14" s="28"/>
    </x:row>
    <x:row r="15">
      <x:c r="A15" s="28" t="str">
        <x:v>BackOffice</x:v>
      </x:c>
      <x:c r="B15" s="28"/>
      <x:c r="C15" s="28"/>
      <x:c r="D15" s="28"/>
      <x:c r="E15" s="28"/>
    </x:row>
    <x:row r="16">
      <x:c r="A16" s="28" t="str">
        <x:v>Sales</x:v>
      </x:c>
      <x:c r="B16" s="28"/>
      <x:c r="C16" s="28"/>
      <x:c r="D16" s="28"/>
      <x:c r="E16" s="28"/>
    </x:row>
    <x:row r="17">
      <x:c r="A17" s="28" t="str">
        <x:v>PDF</x:v>
      </x:c>
      <x:c r="B17" s="28"/>
      <x:c r="C17" s="28"/>
      <x:c r="D17" s="28"/>
      <x:c r="E17" s="28"/>
    </x:row>
    <x:row r="18">
      <x:c r="A18" s="28" t="str">
        <x:v>CI/CD</x:v>
      </x:c>
      <x:c r="B18" s="28"/>
      <x:c r="C18" s="28"/>
      <x:c r="D18" s="28"/>
      <x:c r="E18" s="28"/>
    </x:row>
    <x:row r="19">
      <x:c r="A19" s="28" t="str">
        <x:v>Netlify</x:v>
      </x:c>
      <x:c r="B19" s="28"/>
      <x:c r="C19" s="28"/>
      <x:c r="D19" s="28"/>
      <x:c r="E19" s="28"/>
    </x:row>
    <x:row r="20">
      <x:c r="A20" s="28" t="str">
        <x:v>Sentry</x:v>
      </x:c>
      <x:c r="B20" s="28"/>
      <x:c r="C20" s="28"/>
      <x:c r="D20" s="28"/>
      <x:c r="E20" s="28"/>
    </x:row>
    <x:row r="21">
      <x:c r="A21" s="28" t="str">
        <x:v>Maintenance</x:v>
      </x:c>
      <x:c r="B21" s="28"/>
      <x:c r="C21" s="28"/>
      <x:c r="D21" s="28"/>
      <x:c r="E21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92" hidden="0" customWidth="1"/>
    <x:col min="4" max="4" width="22" hidden="0" customWidth="1"/>
    <x:col min="5" max="5" width="34" hidden="0" customWidth="1"/>
    <x:col min="6" max="6" width="34" hidden="0" customWidth="1"/>
  </x:cols>
  <x:sheetData>
    <x:row r="1">
      <x:c r="A1" s="3" t="str">
        <x:v>MODE D'EMPLOI DU PLAN DE TESTS</x:v>
      </x:c>
      <x:c r="B1" s="3"/>
      <x:c r="C1" s="3"/>
      <x:c r="D1" s="3"/>
      <x:c r="E1" s="3"/>
      <x:c r="F1" s="3"/>
    </x:row>
    <x:row r="3">
      <x:c r="A3" s="29" t="str">
        <x:v>Champ</x:v>
      </x:c>
      <x:c r="B3" s="29" t="str">
        <x:v>Consigne</x:v>
      </x:c>
      <x:c r="D3" s="29" t="str">
        <x:v>Rôle</x:v>
      </x:c>
      <x:c r="E3" s="29" t="str">
        <x:v>Responsabilité</x:v>
      </x:c>
      <x:c r="F3" s="29" t="str">
        <x:v>Validation</x:v>
      </x:c>
    </x:row>
    <x:row r="4" ht="54" customHeight="1">
      <x:c r="A4" s="32" t="str">
        <x:v>Portée</x:v>
      </x:c>
      <x:c r="B4" s="30" t="str">
        <x:v>Dupliquer ou ajouter une ligne pour chaque variante utile. Ne jamais remplacer un cas existant par un résultat sans conserver l'exigence.</x:v>
      </x:c>
      <x:c r="D4" s="30" t="str">
        <x:v>Recetteur</x:v>
      </x:c>
      <x:c r="E4" s="30" t="str">
        <x:v>Exécuter et documenter les cas</x:v>
      </x:c>
      <x:c r="F4" s="30" t="str">
        <x:v>Résultat observable et preuve</x:v>
      </x:c>
    </x:row>
    <x:row r="5" ht="54" customHeight="1">
      <x:c r="A5" s="32" t="str">
        <x:v>Préparation</x:v>
      </x:c>
      <x:c r="B5" s="30" t="str">
        <x:v>Utiliser des comptes, produits et paiements de test. Ne jamais inscrire de secret, mot de passe, code MFA ou numéro de carte réel dans le classeur.</x:v>
      </x:c>
      <x:c r="D5" s="30" t="str">
        <x:v>Développeur</x:v>
      </x:c>
      <x:c r="E5" s="30" t="str">
        <x:v>Analyser et corriger les anomalies</x:v>
      </x:c>
      <x:c r="F5" s="30" t="str">
        <x:v>Tests automatisés et non-régression</x:v>
      </x:c>
    </x:row>
    <x:row r="6" ht="54" customHeight="1">
      <x:c r="A6" s="32" t="str">
        <x:v>Exécution</x:v>
      </x:c>
      <x:c r="B6" s="30" t="str">
        <x:v>Renseigner Exécuteur, Date, Statut et Résultat obtenu. Noter les valeurs observées, pas seulement conforme ou non conforme.</x:v>
      </x:c>
      <x:c r="D6" s="30" t="str">
        <x:v>Product Owner</x:v>
      </x:c>
      <x:c r="E6" s="30" t="str">
        <x:v>Accepter le comportement métier</x:v>
      </x:c>
      <x:c r="F6" s="30" t="str">
        <x:v>Critères d'acceptation</x:v>
      </x:c>
    </x:row>
    <x:row r="7" ht="54" customHeight="1">
      <x:c r="A7" s="32" t="str">
        <x:v>Anomalie</x:v>
      </x:c>
      <x:c r="B7" s="30" t="str">
        <x:v>Inscrire l'identifiant du ticket GitHub ou du suivi choisi. Une anomalie critique bloque la recette tant qu'elle n'est pas corrigée ou acceptée formellement.</x:v>
      </x:c>
      <x:c r="D7" s="30" t="str">
        <x:v>Responsable release</x:v>
      </x:c>
      <x:c r="E7" s="30" t="str">
        <x:v>Prendre la décision go/no-go</x:v>
      </x:c>
      <x:c r="F7" s="30" t="str">
        <x:v>Synthèse, CI, preview et rollback</x:v>
      </x:c>
    </x:row>
    <x:row r="8" ht="54" customHeight="1">
      <x:c r="A8" s="32" t="str">
        <x:v>Preuve</x:v>
      </x:c>
      <x:c r="B8" s="30" t="str">
        <x:v>Ajouter un chemin de capture, un lien de rapport ou un identifiant de log expurgé. Ne pas coller de données personnelles.</x:v>
      </x:c>
    </x:row>
    <x:row r="9" ht="54" customHeight="1">
      <x:c r="A9" s="32" t="str">
        <x:v>Rejeu</x:v>
      </x:c>
      <x:c r="B9" s="30" t="str">
        <x:v>Après correction, conserver le résultat précédent dans Commentaires et dater le nouveau passage.</x:v>
      </x:c>
    </x:row>
    <x:row r="10" ht="54" customHeight="1">
      <x:c r="A10" s="32" t="str">
        <x:v>Production</x:v>
      </x:c>
      <x:c r="B10" s="30" t="str">
        <x:v>Limiter la production aux smoke tests sûrs. Les tests destructifs, signatures invalides, seeds et paiements de laboratoire restent sur Local ou Preview.</x:v>
      </x:c>
    </x:row>
    <x:row r="11" ht="54" customHeight="1">
      <x:c r="A11" s="32" t="str">
        <x:v>Synthèse</x:v>
      </x:c>
      <x:c r="B11" s="30" t="str">
        <x:v>La feuille Synthèse se met à jour à partir des statuts de la feuille Plan de tests.</x:v>
      </x:c>
    </x:row>
    <x:row r="12" ht="54" customHeight="1">
      <x:c r="A12" s="32" t="str">
        <x:v>Validation finale</x:v>
      </x:c>
      <x:c r="B12" s="30" t="str">
        <x:v>Exiger zéro échec critique, expliquer les cas bloqués et faire approuver le périmètre par le responsable de recette.</x:v>
      </x:c>
    </x:row>
  </x:sheetData>
  <x:mergeCells>
    <x:mergeCell ref="A1:F1"/>
  </x:mergeCells>
  <x:pageMargins left="0.7" right="0.7" top="0.75" bottom="0.75" header="0.3" footer="0.3"/>
</x:worksheet>
</file>