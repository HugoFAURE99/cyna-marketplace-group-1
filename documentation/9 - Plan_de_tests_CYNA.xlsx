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ynthèse" sheetId="1" state="visible" r:id="rId1"/>
    <sheet xmlns:r="http://schemas.openxmlformats.org/officeDocument/2006/relationships" name="Plan de tests" sheetId="2" state="visible" r:id="rId2"/>
    <sheet xmlns:r="http://schemas.openxmlformats.org/officeDocument/2006/relationships" name="Référentiels" sheetId="3" state="visible" r:id="rId3"/>
    <sheet xmlns:r="http://schemas.openxmlformats.org/officeDocument/2006/relationships" name="Mode d'emploi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8">
    <font>
      <name val="Carlito"/>
      <sz val="11"/>
    </font>
    <font>
      <name val="Carlito"/>
      <b val="1"/>
      <color rgb="FFFFFFFF"/>
      <sz val="18"/>
    </font>
    <font>
      <name val="Carlito"/>
      <i val="1"/>
      <color rgb="FF626273"/>
      <sz val="11"/>
    </font>
    <font>
      <name val="Carlito"/>
      <b val="1"/>
      <color rgb="FFFFFFFF"/>
      <sz val="11"/>
    </font>
    <font>
      <name val="Carlito"/>
      <color rgb="FF1A1A24"/>
      <sz val="9"/>
    </font>
    <font>
      <name val="Carlito"/>
      <b val="1"/>
      <color rgb="FF302082"/>
      <sz val="9"/>
    </font>
    <font>
      <name val="Carlito"/>
      <b val="1"/>
      <color rgb="FF302082"/>
      <sz val="11"/>
    </font>
    <font>
      <name val="Carlito"/>
      <b val="1"/>
      <color rgb="FF302082"/>
      <sz val="14"/>
    </font>
  </fonts>
  <fills count="6">
    <fill>
      <patternFill/>
    </fill>
    <fill>
      <patternFill patternType="gray125"/>
    </fill>
    <fill>
      <patternFill patternType="solid">
        <fgColor rgb="FF302082"/>
      </patternFill>
    </fill>
    <fill>
      <patternFill patternType="solid">
        <fgColor rgb="FFEEEAFB"/>
      </patternFill>
    </fill>
    <fill>
      <patternFill patternType="solid">
        <fgColor rgb="FF4A339E"/>
      </patternFill>
    </fill>
    <fill>
      <patternFill patternType="solid">
        <fgColor rgb="FFE8EEF5"/>
      </patternFill>
    </fill>
  </fills>
  <borders count="3">
    <border/>
    <border>
      <left style="thin">
        <color rgb="FFC9C5DB"/>
      </left>
      <right style="thin">
        <color rgb="FFC9C5DB"/>
      </right>
      <top style="thin">
        <color rgb="FFC9C5DB"/>
      </top>
      <bottom style="thin">
        <color rgb="FFC9C5DB"/>
      </bottom>
    </border>
    <border>
      <left style="thin">
        <color rgb="FFDEDCEA"/>
      </left>
      <right style="thin">
        <color rgb="FFDEDCEA"/>
      </right>
      <top style="thin">
        <color rgb="FFDEDCEA"/>
      </top>
      <bottom style="thin">
        <color rgb="FFDEDCEA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2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5" fillId="5" borderId="2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top" wrapText="1"/>
    </xf>
    <xf numFmtId="164" fontId="4" fillId="0" borderId="2" applyAlignment="1" pivotButton="0" quotePrefix="0" xfId="0">
      <alignment horizontal="center" vertical="top"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0" fillId="5" borderId="0" pivotButton="0" quotePrefix="0" xfId="0"/>
    <xf numFmtId="0" fontId="7" fillId="5" borderId="0" pivotButton="0" quotePrefix="0" xfId="0"/>
    <xf numFmtId="0" fontId="7" fillId="5" borderId="1" pivotButton="0" quotePrefix="0" xfId="0"/>
    <xf numFmtId="0" fontId="7" fillId="5" borderId="1" applyAlignment="1" pivotButton="0" quotePrefix="0" xfId="0">
      <alignment horizontal="center"/>
    </xf>
    <xf numFmtId="165" fontId="7" fillId="5" borderId="1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left"/>
    </xf>
    <xf numFmtId="165" fontId="7" fillId="5" borderId="1" applyAlignment="1" pivotButton="0" quotePrefix="0" xfId="0">
      <alignment horizontal="center"/>
    </xf>
    <xf numFmtId="164" fontId="4" fillId="0" borderId="2" applyAlignment="1" pivotButton="0" quotePrefix="0" xfId="0">
      <alignment horizontal="center" vertical="top" wrapText="1"/>
    </xf>
  </cellXfs>
  <cellStyles count="1">
    <cellStyle name="Normal" xfId="0"/>
  </cellStyles>
  <dxfs count="4">
    <dxf>
      <font>
        <b val="1"/>
        <color rgb="FF116B3A"/>
      </font>
      <fill>
        <patternFill patternType="solid">
          <bgColor rgb="FFDFF3E7"/>
        </patternFill>
      </fill>
    </dxf>
    <dxf>
      <font>
        <b val="1"/>
        <color rgb="FFA11B1B"/>
      </font>
      <fill>
        <patternFill patternType="solid">
          <bgColor rgb="FFFDE2E2"/>
        </patternFill>
      </fill>
    </dxf>
    <dxf>
      <font>
        <b val="1"/>
        <color rgb="FF8A5A00"/>
      </font>
      <fill>
        <patternFill patternType="solid">
          <bgColor rgb="FFFFF0CC"/>
        </patternFill>
      </fill>
    </dxf>
    <dxf>
      <font>
        <color rgb="FF626273"/>
      </font>
      <fill>
        <patternFill patternType="solid">
          <bgColor rgb="FFF2F2F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ynaTestPlan" displayName="CynaTestPlan" ref="A4:R84" headerRowCount="1" totalsRowCount="0" totalsRowShown="0">
  <tableColumns count="18">
    <tableColumn id="1" name="ID"/>
    <tableColumn id="2" name="Domaine"/>
    <tableColumn id="3" name="Fonctionnalité"/>
    <tableColumn id="4" name="Exigence / risque"/>
    <tableColumn id="5" name="Type"/>
    <tableColumn id="6" name="Priorité"/>
    <tableColumn id="7" name="Préconditions"/>
    <tableColumn id="8" name="Étapes"/>
    <tableColumn id="9" name="Données de test"/>
    <tableColumn id="10" name="Résultat attendu"/>
    <tableColumn id="11" name="Environnement"/>
    <tableColumn id="12" name="Exécuteur"/>
    <tableColumn id="13" name="Date"/>
    <tableColumn id="14" name="Statut"/>
    <tableColumn id="15" name="Résultat obtenu"/>
    <tableColumn id="16" name="Anomalie"/>
    <tableColumn id="17" name="Preuve"/>
    <tableColumn id="18" name="Commentai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9" customWidth="1" min="7" max="7"/>
    <col width="20" customWidth="1" min="8" max="8"/>
    <col width="44" customWidth="1" min="9" max="9"/>
    <col width="22" customWidth="1" min="10" max="10"/>
  </cols>
  <sheetData>
    <row r="1">
      <c r="A1" s="3" t="inlineStr">
        <is>
          <t>SYNTHÈSE DE RECETTE CYNA</t>
        </is>
      </c>
    </row>
    <row r="2">
      <c r="A2" s="33" t="inlineStr">
        <is>
          <t>Indicateurs calculés à partir des lignes du plan de tests. Compléter les statuts avant toute décision de release.</t>
        </is>
      </c>
    </row>
    <row r="4" ht="34" customHeight="1">
      <c r="A4" s="35" t="inlineStr">
        <is>
          <t>Total</t>
        </is>
      </c>
      <c r="B4" s="35" t="inlineStr">
        <is>
          <t>À exécuter</t>
        </is>
      </c>
      <c r="C4" s="35" t="inlineStr">
        <is>
          <t>Réussis</t>
        </is>
      </c>
      <c r="D4" s="35" t="inlineStr">
        <is>
          <t>Échoués</t>
        </is>
      </c>
      <c r="E4" s="35" t="inlineStr">
        <is>
          <t>Bloqués</t>
        </is>
      </c>
      <c r="F4" s="35" t="inlineStr">
        <is>
          <t>Non applicables</t>
        </is>
      </c>
      <c r="G4" s="35" t="inlineStr">
        <is>
          <t>Taux de réussite</t>
        </is>
      </c>
      <c r="H4" s="35" t="inlineStr">
        <is>
          <t>Échecs critiques</t>
        </is>
      </c>
    </row>
    <row r="5" ht="34" customHeight="1">
      <c r="A5" s="39">
        <f>COUNTA('Plan de tests'!A5:A250)</f>
        <v/>
      </c>
      <c r="B5" s="39">
        <f>COUNTIF('Plan de tests'!N5:N250,"À exécuter")</f>
        <v/>
      </c>
      <c r="C5" s="39">
        <f>COUNTIF('Plan de tests'!N5:N250,"Réussi")</f>
        <v/>
      </c>
      <c r="D5" s="39">
        <f>COUNTIF('Plan de tests'!N5:N250,"Échoué")</f>
        <v/>
      </c>
      <c r="E5" s="39">
        <f>COUNTIF('Plan de tests'!N5:N250,"Bloqué")</f>
        <v/>
      </c>
      <c r="F5" s="39">
        <f>COUNTIF('Plan de tests'!N5:N250,"Non applicable")</f>
        <v/>
      </c>
      <c r="G5" s="47">
        <f>IFERROR(C5/(C5+D5),0)</f>
        <v/>
      </c>
      <c r="H5" s="39">
        <f>COUNTIFS('Plan de tests'!F5:F250,"Critique",'Plan de tests'!N5:N250,"Échoué")</f>
        <v/>
      </c>
    </row>
    <row r="8">
      <c r="A8" s="42" t="inlineStr">
        <is>
          <t>Domaine</t>
        </is>
      </c>
      <c r="B8" s="42" t="inlineStr">
        <is>
          <t>Total</t>
        </is>
      </c>
      <c r="C8" s="42" t="inlineStr">
        <is>
          <t>Réussis</t>
        </is>
      </c>
      <c r="D8" s="42" t="inlineStr">
        <is>
          <t>Échoués</t>
        </is>
      </c>
      <c r="E8" s="42" t="inlineStr">
        <is>
          <t>Bloqués</t>
        </is>
      </c>
      <c r="F8" s="42" t="inlineStr">
        <is>
          <t>À exécuter</t>
        </is>
      </c>
      <c r="H8" s="29" t="inlineStr">
        <is>
          <t>Décision</t>
        </is>
      </c>
      <c r="I8" s="29" t="inlineStr">
        <is>
          <t>Règle</t>
        </is>
      </c>
      <c r="J8" s="29" t="inlineStr">
        <is>
          <t>Valeur</t>
        </is>
      </c>
    </row>
    <row r="9" ht="22" customHeight="1">
      <c r="A9" s="46" t="inlineStr">
        <is>
          <t>Navigation</t>
        </is>
      </c>
      <c r="B9" s="43">
        <f>COUNTIF('Plan de tests'!B$5:B$250,A9)</f>
        <v/>
      </c>
      <c r="C9" s="43">
        <f>COUNTIFS('Plan de tests'!B$5:B$250,A9,'Plan de tests'!N$5:N$250,"Réussi")</f>
        <v/>
      </c>
      <c r="D9" s="43">
        <f>COUNTIFS('Plan de tests'!B$5:B$250,A9,'Plan de tests'!N$5:N$250,"Échoué")</f>
        <v/>
      </c>
      <c r="E9" s="43">
        <f>COUNTIFS('Plan de tests'!B$5:B$250,A9,'Plan de tests'!N$5:N$250,"Bloqué")</f>
        <v/>
      </c>
      <c r="F9" s="43">
        <f>COUNTIFS('Plan de tests'!B$5:B$250,A9,'Plan de tests'!N$5:N$250,"À exécuter")</f>
        <v/>
      </c>
      <c r="H9" s="32" t="inlineStr">
        <is>
          <t>Go</t>
        </is>
      </c>
      <c r="I9" s="30" t="inlineStr">
        <is>
          <t>Aucun échec critique et aucun cas critique non exécuté</t>
        </is>
      </c>
      <c r="J9" s="30" t="inlineStr">
        <is>
          <t>À valider</t>
        </is>
      </c>
    </row>
    <row r="10" ht="22" customHeight="1">
      <c r="A10" s="46" t="inlineStr">
        <is>
          <t>Accessibilité</t>
        </is>
      </c>
      <c r="B10" s="43">
        <f>COUNTIF('Plan de tests'!B$5:B$250,A10)</f>
        <v/>
      </c>
      <c r="C10" s="43">
        <f>COUNTIFS('Plan de tests'!B$5:B$250,A10,'Plan de tests'!N$5:N$250,"Réussi")</f>
        <v/>
      </c>
      <c r="D10" s="43">
        <f>COUNTIFS('Plan de tests'!B$5:B$250,A10,'Plan de tests'!N$5:N$250,"Échoué")</f>
        <v/>
      </c>
      <c r="E10" s="43">
        <f>COUNTIFS('Plan de tests'!B$5:B$250,A10,'Plan de tests'!N$5:N$250,"Bloqué")</f>
        <v/>
      </c>
      <c r="F10" s="43">
        <f>COUNTIFS('Plan de tests'!B$5:B$250,A10,'Plan de tests'!N$5:N$250,"À exécuter")</f>
        <v/>
      </c>
      <c r="H10" s="32" t="inlineStr">
        <is>
          <t>Go conditionnel</t>
        </is>
      </c>
      <c r="I10" s="30" t="inlineStr">
        <is>
          <t>Écarts non critiques acceptés et documentés</t>
        </is>
      </c>
      <c r="J10" s="30" t="inlineStr">
        <is>
          <t>À valider</t>
        </is>
      </c>
    </row>
    <row r="11" ht="22" customHeight="1">
      <c r="A11" s="46" t="inlineStr">
        <is>
          <t>Responsive</t>
        </is>
      </c>
      <c r="B11" s="43">
        <f>COUNTIF('Plan de tests'!B$5:B$250,A11)</f>
        <v/>
      </c>
      <c r="C11" s="43">
        <f>COUNTIFS('Plan de tests'!B$5:B$250,A11,'Plan de tests'!N$5:N$250,"Réussi")</f>
        <v/>
      </c>
      <c r="D11" s="43">
        <f>COUNTIFS('Plan de tests'!B$5:B$250,A11,'Plan de tests'!N$5:N$250,"Échoué")</f>
        <v/>
      </c>
      <c r="E11" s="43">
        <f>COUNTIFS('Plan de tests'!B$5:B$250,A11,'Plan de tests'!N$5:N$250,"Bloqué")</f>
        <v/>
      </c>
      <c r="F11" s="43">
        <f>COUNTIFS('Plan de tests'!B$5:B$250,A11,'Plan de tests'!N$5:N$250,"À exécuter")</f>
        <v/>
      </c>
      <c r="H11" s="32" t="inlineStr">
        <is>
          <t>No-go</t>
        </is>
      </c>
      <c r="I11" s="30" t="inlineStr">
        <is>
          <t>Au moins un échec critique ou intégrité non garantie</t>
        </is>
      </c>
      <c r="J11" s="30" t="inlineStr">
        <is>
          <t>À valider</t>
        </is>
      </c>
    </row>
    <row r="12" ht="22" customHeight="1">
      <c r="A12" s="46" t="inlineStr">
        <is>
          <t>Authentification</t>
        </is>
      </c>
      <c r="B12" s="43">
        <f>COUNTIF('Plan de tests'!B$5:B$250,A12)</f>
        <v/>
      </c>
      <c r="C12" s="43">
        <f>COUNTIFS('Plan de tests'!B$5:B$250,A12,'Plan de tests'!N$5:N$250,"Réussi")</f>
        <v/>
      </c>
      <c r="D12" s="43">
        <f>COUNTIFS('Plan de tests'!B$5:B$250,A12,'Plan de tests'!N$5:N$250,"Échoué")</f>
        <v/>
      </c>
      <c r="E12" s="43">
        <f>COUNTIFS('Plan de tests'!B$5:B$250,A12,'Plan de tests'!N$5:N$250,"Bloqué")</f>
        <v/>
      </c>
      <c r="F12" s="43">
        <f>COUNTIFS('Plan de tests'!B$5:B$250,A12,'Plan de tests'!N$5:N$250,"À exécuter")</f>
        <v/>
      </c>
      <c r="H12" s="32" t="inlineStr">
        <is>
          <t>Responsable</t>
        </is>
      </c>
      <c r="I12" s="30" t="inlineStr">
        <is>
          <t>Nom de l'approbateur de release</t>
        </is>
      </c>
      <c r="J12" s="30" t="str"/>
    </row>
    <row r="13" ht="22" customHeight="1">
      <c r="A13" s="46" t="inlineStr">
        <is>
          <t>Catalogue</t>
        </is>
      </c>
      <c r="B13" s="43">
        <f>COUNTIF('Plan de tests'!B$5:B$250,A13)</f>
        <v/>
      </c>
      <c r="C13" s="43">
        <f>COUNTIFS('Plan de tests'!B$5:B$250,A13,'Plan de tests'!N$5:N$250,"Réussi")</f>
        <v/>
      </c>
      <c r="D13" s="43">
        <f>COUNTIFS('Plan de tests'!B$5:B$250,A13,'Plan de tests'!N$5:N$250,"Échoué")</f>
        <v/>
      </c>
      <c r="E13" s="43">
        <f>COUNTIFS('Plan de tests'!B$5:B$250,A13,'Plan de tests'!N$5:N$250,"Bloqué")</f>
        <v/>
      </c>
      <c r="F13" s="43">
        <f>COUNTIFS('Plan de tests'!B$5:B$250,A13,'Plan de tests'!N$5:N$250,"À exécuter")</f>
        <v/>
      </c>
      <c r="H13" s="32" t="inlineStr">
        <is>
          <t>Date</t>
        </is>
      </c>
      <c r="I13" s="30" t="inlineStr">
        <is>
          <t>Date de la décision</t>
        </is>
      </c>
      <c r="J13" s="30" t="str"/>
    </row>
    <row r="14" ht="22" customHeight="1">
      <c r="A14" s="46" t="inlineStr">
        <is>
          <t>Recherche</t>
        </is>
      </c>
      <c r="B14" s="43">
        <f>COUNTIF('Plan de tests'!B$5:B$250,A14)</f>
        <v/>
      </c>
      <c r="C14" s="43">
        <f>COUNTIFS('Plan de tests'!B$5:B$250,A14,'Plan de tests'!N$5:N$250,"Réussi")</f>
        <v/>
      </c>
      <c r="D14" s="43">
        <f>COUNTIFS('Plan de tests'!B$5:B$250,A14,'Plan de tests'!N$5:N$250,"Échoué")</f>
        <v/>
      </c>
      <c r="E14" s="43">
        <f>COUNTIFS('Plan de tests'!B$5:B$250,A14,'Plan de tests'!N$5:N$250,"Bloqué")</f>
        <v/>
      </c>
      <c r="F14" s="43">
        <f>COUNTIFS('Plan de tests'!B$5:B$250,A14,'Plan de tests'!N$5:N$250,"À exécuter")</f>
        <v/>
      </c>
    </row>
    <row r="15" ht="22" customHeight="1">
      <c r="A15" s="46" t="inlineStr">
        <is>
          <t>Panier</t>
        </is>
      </c>
      <c r="B15" s="43">
        <f>COUNTIF('Plan de tests'!B$5:B$250,A15)</f>
        <v/>
      </c>
      <c r="C15" s="43">
        <f>COUNTIFS('Plan de tests'!B$5:B$250,A15,'Plan de tests'!N$5:N$250,"Réussi")</f>
        <v/>
      </c>
      <c r="D15" s="43">
        <f>COUNTIFS('Plan de tests'!B$5:B$250,A15,'Plan de tests'!N$5:N$250,"Échoué")</f>
        <v/>
      </c>
      <c r="E15" s="43">
        <f>COUNTIFS('Plan de tests'!B$5:B$250,A15,'Plan de tests'!N$5:N$250,"Bloqué")</f>
        <v/>
      </c>
      <c r="F15" s="43">
        <f>COUNTIFS('Plan de tests'!B$5:B$250,A15,'Plan de tests'!N$5:N$250,"À exécuter")</f>
        <v/>
      </c>
    </row>
    <row r="16" ht="22" customHeight="1">
      <c r="A16" s="46" t="inlineStr">
        <is>
          <t>Checkout</t>
        </is>
      </c>
      <c r="B16" s="43">
        <f>COUNTIF('Plan de tests'!B$5:B$250,A16)</f>
        <v/>
      </c>
      <c r="C16" s="43">
        <f>COUNTIFS('Plan de tests'!B$5:B$250,A16,'Plan de tests'!N$5:N$250,"Réussi")</f>
        <v/>
      </c>
      <c r="D16" s="43">
        <f>COUNTIFS('Plan de tests'!B$5:B$250,A16,'Plan de tests'!N$5:N$250,"Échoué")</f>
        <v/>
      </c>
      <c r="E16" s="43">
        <f>COUNTIFS('Plan de tests'!B$5:B$250,A16,'Plan de tests'!N$5:N$250,"Bloqué")</f>
        <v/>
      </c>
      <c r="F16" s="43">
        <f>COUNTIFS('Plan de tests'!B$5:B$250,A16,'Plan de tests'!N$5:N$250,"À exécuter")</f>
        <v/>
      </c>
    </row>
    <row r="17" ht="22" customHeight="1">
      <c r="A17" s="46" t="inlineStr">
        <is>
          <t>Stripe</t>
        </is>
      </c>
      <c r="B17" s="43">
        <f>COUNTIF('Plan de tests'!B$5:B$250,A17)</f>
        <v/>
      </c>
      <c r="C17" s="43">
        <f>COUNTIFS('Plan de tests'!B$5:B$250,A17,'Plan de tests'!N$5:N$250,"Réussi")</f>
        <v/>
      </c>
      <c r="D17" s="43">
        <f>COUNTIFS('Plan de tests'!B$5:B$250,A17,'Plan de tests'!N$5:N$250,"Échoué")</f>
        <v/>
      </c>
      <c r="E17" s="43">
        <f>COUNTIFS('Plan de tests'!B$5:B$250,A17,'Plan de tests'!N$5:N$250,"Bloqué")</f>
        <v/>
      </c>
      <c r="F17" s="43">
        <f>COUNTIFS('Plan de tests'!B$5:B$250,A17,'Plan de tests'!N$5:N$250,"À exécuter")</f>
        <v/>
      </c>
    </row>
    <row r="18" ht="22" customHeight="1">
      <c r="A18" s="46" t="inlineStr">
        <is>
          <t>Espace client</t>
        </is>
      </c>
      <c r="B18" s="43">
        <f>COUNTIF('Plan de tests'!B$5:B$250,A18)</f>
        <v/>
      </c>
      <c r="C18" s="43">
        <f>COUNTIFS('Plan de tests'!B$5:B$250,A18,'Plan de tests'!N$5:N$250,"Réussi")</f>
        <v/>
      </c>
      <c r="D18" s="43">
        <f>COUNTIFS('Plan de tests'!B$5:B$250,A18,'Plan de tests'!N$5:N$250,"Échoué")</f>
        <v/>
      </c>
      <c r="E18" s="43">
        <f>COUNTIFS('Plan de tests'!B$5:B$250,A18,'Plan de tests'!N$5:N$250,"Bloqué")</f>
        <v/>
      </c>
      <c r="F18" s="43">
        <f>COUNTIFS('Plan de tests'!B$5:B$250,A18,'Plan de tests'!N$5:N$250,"À exécuter")</f>
        <v/>
      </c>
    </row>
    <row r="19" ht="22" customHeight="1">
      <c r="A19" s="46" t="inlineStr">
        <is>
          <t>Abonnements</t>
        </is>
      </c>
      <c r="B19" s="43">
        <f>COUNTIF('Plan de tests'!B$5:B$250,A19)</f>
        <v/>
      </c>
      <c r="C19" s="43">
        <f>COUNTIFS('Plan de tests'!B$5:B$250,A19,'Plan de tests'!N$5:N$250,"Réussi")</f>
        <v/>
      </c>
      <c r="D19" s="43">
        <f>COUNTIFS('Plan de tests'!B$5:B$250,A19,'Plan de tests'!N$5:N$250,"Échoué")</f>
        <v/>
      </c>
      <c r="E19" s="43">
        <f>COUNTIFS('Plan de tests'!B$5:B$250,A19,'Plan de tests'!N$5:N$250,"Bloqué")</f>
        <v/>
      </c>
      <c r="F19" s="43">
        <f>COUNTIFS('Plan de tests'!B$5:B$250,A19,'Plan de tests'!N$5:N$250,"À exécuter")</f>
        <v/>
      </c>
    </row>
    <row r="20" ht="22" customHeight="1">
      <c r="A20" s="46" t="inlineStr">
        <is>
          <t>Support</t>
        </is>
      </c>
      <c r="B20" s="43">
        <f>COUNTIF('Plan de tests'!B$5:B$250,A20)</f>
        <v/>
      </c>
      <c r="C20" s="43">
        <f>COUNTIFS('Plan de tests'!B$5:B$250,A20,'Plan de tests'!N$5:N$250,"Réussi")</f>
        <v/>
      </c>
      <c r="D20" s="43">
        <f>COUNTIFS('Plan de tests'!B$5:B$250,A20,'Plan de tests'!N$5:N$250,"Échoué")</f>
        <v/>
      </c>
      <c r="E20" s="43">
        <f>COUNTIFS('Plan de tests'!B$5:B$250,A20,'Plan de tests'!N$5:N$250,"Bloqué")</f>
        <v/>
      </c>
      <c r="F20" s="43">
        <f>COUNTIFS('Plan de tests'!B$5:B$250,A20,'Plan de tests'!N$5:N$250,"À exécuter")</f>
        <v/>
      </c>
    </row>
    <row r="21" ht="22" customHeight="1">
      <c r="A21" s="46" t="inlineStr">
        <is>
          <t>CynAI</t>
        </is>
      </c>
      <c r="B21" s="43">
        <f>COUNTIF('Plan de tests'!B$5:B$250,A21)</f>
        <v/>
      </c>
      <c r="C21" s="43">
        <f>COUNTIFS('Plan de tests'!B$5:B$250,A21,'Plan de tests'!N$5:N$250,"Réussi")</f>
        <v/>
      </c>
      <c r="D21" s="43">
        <f>COUNTIFS('Plan de tests'!B$5:B$250,A21,'Plan de tests'!N$5:N$250,"Échoué")</f>
        <v/>
      </c>
      <c r="E21" s="43">
        <f>COUNTIFS('Plan de tests'!B$5:B$250,A21,'Plan de tests'!N$5:N$250,"Bloqué")</f>
        <v/>
      </c>
      <c r="F21" s="43">
        <f>COUNTIFS('Plan de tests'!B$5:B$250,A21,'Plan de tests'!N$5:N$250,"À exécuter")</f>
        <v/>
      </c>
    </row>
    <row r="22" ht="22" customHeight="1">
      <c r="A22" s="46" t="inlineStr">
        <is>
          <t>BackOffice</t>
        </is>
      </c>
      <c r="B22" s="43">
        <f>COUNTIF('Plan de tests'!B$5:B$250,A22)</f>
        <v/>
      </c>
      <c r="C22" s="43">
        <f>COUNTIFS('Plan de tests'!B$5:B$250,A22,'Plan de tests'!N$5:N$250,"Réussi")</f>
        <v/>
      </c>
      <c r="D22" s="43">
        <f>COUNTIFS('Plan de tests'!B$5:B$250,A22,'Plan de tests'!N$5:N$250,"Échoué")</f>
        <v/>
      </c>
      <c r="E22" s="43">
        <f>COUNTIFS('Plan de tests'!B$5:B$250,A22,'Plan de tests'!N$5:N$250,"Bloqué")</f>
        <v/>
      </c>
      <c r="F22" s="43">
        <f>COUNTIFS('Plan de tests'!B$5:B$250,A22,'Plan de tests'!N$5:N$250,"À exécuter")</f>
        <v/>
      </c>
    </row>
    <row r="23" ht="22" customHeight="1">
      <c r="A23" s="46" t="inlineStr">
        <is>
          <t>Sales</t>
        </is>
      </c>
      <c r="B23" s="43">
        <f>COUNTIF('Plan de tests'!B$5:B$250,A23)</f>
        <v/>
      </c>
      <c r="C23" s="43">
        <f>COUNTIFS('Plan de tests'!B$5:B$250,A23,'Plan de tests'!N$5:N$250,"Réussi")</f>
        <v/>
      </c>
      <c r="D23" s="43">
        <f>COUNTIFS('Plan de tests'!B$5:B$250,A23,'Plan de tests'!N$5:N$250,"Échoué")</f>
        <v/>
      </c>
      <c r="E23" s="43">
        <f>COUNTIFS('Plan de tests'!B$5:B$250,A23,'Plan de tests'!N$5:N$250,"Bloqué")</f>
        <v/>
      </c>
      <c r="F23" s="43">
        <f>COUNTIFS('Plan de tests'!B$5:B$250,A23,'Plan de tests'!N$5:N$250,"À exécuter")</f>
        <v/>
      </c>
    </row>
    <row r="24" ht="22" customHeight="1">
      <c r="A24" s="46" t="inlineStr">
        <is>
          <t>PDF</t>
        </is>
      </c>
      <c r="B24" s="43">
        <f>COUNTIF('Plan de tests'!B$5:B$250,A24)</f>
        <v/>
      </c>
      <c r="C24" s="43">
        <f>COUNTIFS('Plan de tests'!B$5:B$250,A24,'Plan de tests'!N$5:N$250,"Réussi")</f>
        <v/>
      </c>
      <c r="D24" s="43">
        <f>COUNTIFS('Plan de tests'!B$5:B$250,A24,'Plan de tests'!N$5:N$250,"Échoué")</f>
        <v/>
      </c>
      <c r="E24" s="43">
        <f>COUNTIFS('Plan de tests'!B$5:B$250,A24,'Plan de tests'!N$5:N$250,"Bloqué")</f>
        <v/>
      </c>
      <c r="F24" s="43">
        <f>COUNTIFS('Plan de tests'!B$5:B$250,A24,'Plan de tests'!N$5:N$250,"À exécuter")</f>
        <v/>
      </c>
    </row>
    <row r="25" ht="22" customHeight="1">
      <c r="A25" s="46" t="inlineStr">
        <is>
          <t>CI/CD</t>
        </is>
      </c>
      <c r="B25" s="43">
        <f>COUNTIF('Plan de tests'!B$5:B$250,A25)</f>
        <v/>
      </c>
      <c r="C25" s="43">
        <f>COUNTIFS('Plan de tests'!B$5:B$250,A25,'Plan de tests'!N$5:N$250,"Réussi")</f>
        <v/>
      </c>
      <c r="D25" s="43">
        <f>COUNTIFS('Plan de tests'!B$5:B$250,A25,'Plan de tests'!N$5:N$250,"Échoué")</f>
        <v/>
      </c>
      <c r="E25" s="43">
        <f>COUNTIFS('Plan de tests'!B$5:B$250,A25,'Plan de tests'!N$5:N$250,"Bloqué")</f>
        <v/>
      </c>
      <c r="F25" s="43">
        <f>COUNTIFS('Plan de tests'!B$5:B$250,A25,'Plan de tests'!N$5:N$250,"À exécuter")</f>
        <v/>
      </c>
    </row>
    <row r="26" ht="22" customHeight="1">
      <c r="A26" s="46" t="inlineStr">
        <is>
          <t>Netlify</t>
        </is>
      </c>
      <c r="B26" s="43">
        <f>COUNTIF('Plan de tests'!B$5:B$250,A26)</f>
        <v/>
      </c>
      <c r="C26" s="43">
        <f>COUNTIFS('Plan de tests'!B$5:B$250,A26,'Plan de tests'!N$5:N$250,"Réussi")</f>
        <v/>
      </c>
      <c r="D26" s="43">
        <f>COUNTIFS('Plan de tests'!B$5:B$250,A26,'Plan de tests'!N$5:N$250,"Échoué")</f>
        <v/>
      </c>
      <c r="E26" s="43">
        <f>COUNTIFS('Plan de tests'!B$5:B$250,A26,'Plan de tests'!N$5:N$250,"Bloqué")</f>
        <v/>
      </c>
      <c r="F26" s="43">
        <f>COUNTIFS('Plan de tests'!B$5:B$250,A26,'Plan de tests'!N$5:N$250,"À exécuter")</f>
        <v/>
      </c>
    </row>
    <row r="27" ht="22" customHeight="1">
      <c r="A27" s="46" t="inlineStr">
        <is>
          <t>Sentry</t>
        </is>
      </c>
      <c r="B27" s="43">
        <f>COUNTIF('Plan de tests'!B$5:B$250,A27)</f>
        <v/>
      </c>
      <c r="C27" s="43">
        <f>COUNTIFS('Plan de tests'!B$5:B$250,A27,'Plan de tests'!N$5:N$250,"Réussi")</f>
        <v/>
      </c>
      <c r="D27" s="43">
        <f>COUNTIFS('Plan de tests'!B$5:B$250,A27,'Plan de tests'!N$5:N$250,"Échoué")</f>
        <v/>
      </c>
      <c r="E27" s="43">
        <f>COUNTIFS('Plan de tests'!B$5:B$250,A27,'Plan de tests'!N$5:N$250,"Bloqué")</f>
        <v/>
      </c>
      <c r="F27" s="43">
        <f>COUNTIFS('Plan de tests'!B$5:B$250,A27,'Plan de tests'!N$5:N$250,"À exécuter")</f>
        <v/>
      </c>
    </row>
    <row r="28" ht="22" customHeight="1">
      <c r="A28" s="46" t="inlineStr">
        <is>
          <t>Maintenance</t>
        </is>
      </c>
      <c r="B28" s="43">
        <f>COUNTIF('Plan de tests'!B$5:B$250,A28)</f>
        <v/>
      </c>
      <c r="C28" s="43">
        <f>COUNTIFS('Plan de tests'!B$5:B$250,A28,'Plan de tests'!N$5:N$250,"Réussi")</f>
        <v/>
      </c>
      <c r="D28" s="43">
        <f>COUNTIFS('Plan de tests'!B$5:B$250,A28,'Plan de tests'!N$5:N$250,"Échoué")</f>
        <v/>
      </c>
      <c r="E28" s="43">
        <f>COUNTIFS('Plan de tests'!B$5:B$250,A28,'Plan de tests'!N$5:N$250,"Bloqué")</f>
        <v/>
      </c>
      <c r="F28" s="43">
        <f>COUNTIFS('Plan de tests'!B$5:B$250,A28,'Plan de tests'!N$5:N$250,"À exécuter")</f>
        <v/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34" customWidth="1" min="4" max="4"/>
    <col width="18" customWidth="1" min="5" max="5"/>
    <col width="14" customWidth="1" min="6" max="6"/>
    <col width="32" customWidth="1" min="7" max="7"/>
    <col width="44" customWidth="1" min="8" max="8"/>
    <col width="28" customWidth="1" min="9" max="9"/>
    <col width="42" customWidth="1" min="10" max="10"/>
    <col width="20" customWidth="1" min="11" max="11"/>
    <col width="20" customWidth="1" min="12" max="12"/>
    <col width="14" customWidth="1" min="13" max="13"/>
    <col width="17" customWidth="1" min="14" max="14"/>
    <col width="38" customWidth="1" min="15" max="15"/>
    <col width="20" customWidth="1" min="16" max="16"/>
    <col width="24" customWidth="1" min="17" max="17"/>
    <col width="30" customWidth="1" min="18" max="18"/>
  </cols>
  <sheetData>
    <row r="1" ht="34" customHeight="1">
      <c r="A1" s="4" t="inlineStr">
        <is>
          <t>PLAN DE TESTS CYNA</t>
        </is>
      </c>
    </row>
    <row r="2">
      <c r="A2" s="7" t="inlineStr">
        <is>
          <t>Document à compléter pendant la recette. Les cellules blanches sont prévues pour l'exécution, les preuves et les anomalies.</t>
        </is>
      </c>
    </row>
    <row r="4" ht="36" customHeight="1">
      <c r="A4" s="13" t="inlineStr">
        <is>
          <t>ID</t>
        </is>
      </c>
      <c r="B4" s="13" t="inlineStr">
        <is>
          <t>Domaine</t>
        </is>
      </c>
      <c r="C4" s="13" t="inlineStr">
        <is>
          <t>Fonctionnalité</t>
        </is>
      </c>
      <c r="D4" s="13" t="inlineStr">
        <is>
          <t>Exigence / risque</t>
        </is>
      </c>
      <c r="E4" s="13" t="inlineStr">
        <is>
          <t>Type</t>
        </is>
      </c>
      <c r="F4" s="13" t="inlineStr">
        <is>
          <t>Priorité</t>
        </is>
      </c>
      <c r="G4" s="13" t="inlineStr">
        <is>
          <t>Préconditions</t>
        </is>
      </c>
      <c r="H4" s="13" t="inlineStr">
        <is>
          <t>Étapes</t>
        </is>
      </c>
      <c r="I4" s="13" t="inlineStr">
        <is>
          <t>Données de test</t>
        </is>
      </c>
      <c r="J4" s="13" t="inlineStr">
        <is>
          <t>Résultat attendu</t>
        </is>
      </c>
      <c r="K4" s="13" t="inlineStr">
        <is>
          <t>Environnement</t>
        </is>
      </c>
      <c r="L4" s="13" t="inlineStr">
        <is>
          <t>Exécuteur</t>
        </is>
      </c>
      <c r="M4" s="13" t="inlineStr">
        <is>
          <t>Date</t>
        </is>
      </c>
      <c r="N4" s="13" t="inlineStr">
        <is>
          <t>Statut</t>
        </is>
      </c>
      <c r="O4" s="13" t="inlineStr">
        <is>
          <t>Résultat obtenu</t>
        </is>
      </c>
      <c r="P4" s="13" t="inlineStr">
        <is>
          <t>Anomalie</t>
        </is>
      </c>
      <c r="Q4" s="13" t="inlineStr">
        <is>
          <t>Preuve</t>
        </is>
      </c>
      <c r="R4" s="13" t="inlineStr">
        <is>
          <t>Commentaires</t>
        </is>
      </c>
    </row>
    <row r="5" ht="74" customHeight="1">
      <c r="A5" s="20" t="inlineStr">
        <is>
          <t>TC-001</t>
        </is>
      </c>
      <c r="B5" s="17" t="inlineStr">
        <is>
          <t>Navigation</t>
        </is>
      </c>
      <c r="C5" s="17" t="inlineStr">
        <is>
          <t>Accueil FR</t>
        </is>
      </c>
      <c r="D5" s="17" t="inlineStr">
        <is>
          <t>La page d'accueil française est disponible et cohérente.</t>
        </is>
      </c>
      <c r="E5" s="17" t="inlineStr">
        <is>
          <t>Fonctionnel</t>
        </is>
      </c>
      <c r="F5" s="21" t="inlineStr">
        <is>
          <t>Haute</t>
        </is>
      </c>
      <c r="G5" s="17" t="inlineStr">
        <is>
          <t>Déploiement accessible</t>
        </is>
      </c>
      <c r="H5" s="17" t="inlineStr">
        <is>
          <t>1. Ouvrir /fr. 2. Contrôler en-tête, contenu et pied de page. 3. Ouvrir un lien principal.</t>
        </is>
      </c>
      <c r="I5" s="17" t="inlineStr">
        <is>
          <t>URL Netlify</t>
        </is>
      </c>
      <c r="J5" s="17" t="inlineStr">
        <is>
          <t>Page sans erreur, textes FR, navigation fonctionnelle.</t>
        </is>
      </c>
      <c r="K5" s="21" t="inlineStr">
        <is>
          <t>Preview Netlify</t>
        </is>
      </c>
      <c r="L5" s="21" t="inlineStr">
        <is>
          <t>Samuel KAKEZ</t>
        </is>
      </c>
      <c r="M5" s="48" t="n">
        <v>46209</v>
      </c>
      <c r="N5" s="21" t="inlineStr">
        <is>
          <t>Réussi</t>
        </is>
      </c>
      <c r="O5" s="17" t="inlineStr">
        <is>
          <t>Conforme au résultat attendu.</t>
        </is>
      </c>
      <c r="P5" s="17" t="str"/>
      <c r="Q5" s="17" t="str"/>
      <c r="R5" s="17" t="str"/>
    </row>
    <row r="6" ht="74" customHeight="1">
      <c r="A6" s="20" t="inlineStr">
        <is>
          <t>TC-002</t>
        </is>
      </c>
      <c r="B6" s="17" t="inlineStr">
        <is>
          <t>Navigation</t>
        </is>
      </c>
      <c r="C6" s="17" t="inlineStr">
        <is>
          <t>Accueil EN</t>
        </is>
      </c>
      <c r="D6" s="17" t="inlineStr">
        <is>
          <t>La locale anglaise affiche les libellés et contenus traduits.</t>
        </is>
      </c>
      <c r="E6" s="17" t="inlineStr">
        <is>
          <t>Fonctionnel</t>
        </is>
      </c>
      <c r="F6" s="21" t="inlineStr">
        <is>
          <t>Haute</t>
        </is>
      </c>
      <c r="G6" s="17" t="inlineStr">
        <is>
          <t>Déploiement accessible</t>
        </is>
      </c>
      <c r="H6" s="17" t="inlineStr">
        <is>
          <t>1. Ouvrir /en. 2. Contrôler les zones principales. 3. Naviguer vers un produit.</t>
        </is>
      </c>
      <c r="I6" s="17" t="inlineStr">
        <is>
          <t>Locale en</t>
        </is>
      </c>
      <c r="J6" s="17" t="inlineStr">
        <is>
          <t>Aucun mélange FR injustifié, liens conservant /en.</t>
        </is>
      </c>
      <c r="K6" s="21" t="inlineStr">
        <is>
          <t>Preview Netlify</t>
        </is>
      </c>
      <c r="L6" s="21" t="inlineStr">
        <is>
          <t>Samuel KAKEZ</t>
        </is>
      </c>
      <c r="M6" s="48" t="n">
        <v>46209</v>
      </c>
      <c r="N6" s="21" t="inlineStr">
        <is>
          <t>Réussi</t>
        </is>
      </c>
      <c r="O6" s="17" t="inlineStr">
        <is>
          <t>Conforme au résultat attendu.</t>
        </is>
      </c>
      <c r="P6" s="17" t="str"/>
      <c r="Q6" s="17" t="str"/>
      <c r="R6" s="17" t="str"/>
    </row>
    <row r="7" ht="74" customHeight="1">
      <c r="A7" s="20" t="inlineStr">
        <is>
          <t>TC-003</t>
        </is>
      </c>
      <c r="B7" s="17" t="inlineStr">
        <is>
          <t>Navigation</t>
        </is>
      </c>
      <c r="C7" s="17" t="inlineStr">
        <is>
          <t>Changement de langue</t>
        </is>
      </c>
      <c r="D7" s="17" t="inlineStr">
        <is>
          <t>Le sélecteur conserve la page équivalente.</t>
        </is>
      </c>
      <c r="E7" s="17" t="inlineStr">
        <is>
          <t>Non-régression</t>
        </is>
      </c>
      <c r="F7" s="21" t="inlineStr">
        <is>
          <t>Moyenne</t>
        </is>
      </c>
      <c r="G7" s="17" t="inlineStr">
        <is>
          <t>Fiche produit existante dans les deux langues</t>
        </is>
      </c>
      <c r="H7" s="17" t="inlineStr">
        <is>
          <t>1. Ouvrir la fiche FR. 2. Passer en EN. 3. Revenir en FR.</t>
        </is>
      </c>
      <c r="I7" s="17" t="inlineStr">
        <is>
          <t>Produit traduit</t>
        </is>
      </c>
      <c r="J7" s="17" t="inlineStr">
        <is>
          <t>Même produit et locale correcte après chaque bascule.</t>
        </is>
      </c>
      <c r="K7" s="21" t="inlineStr">
        <is>
          <t>Preview Netlify</t>
        </is>
      </c>
      <c r="L7" s="21" t="inlineStr">
        <is>
          <t>Samuel KAKEZ</t>
        </is>
      </c>
      <c r="M7" s="48" t="n">
        <v>46209</v>
      </c>
      <c r="N7" s="21" t="inlineStr">
        <is>
          <t>Réussi</t>
        </is>
      </c>
      <c r="O7" s="17" t="inlineStr">
        <is>
          <t>Conforme au résultat attendu.</t>
        </is>
      </c>
      <c r="P7" s="17" t="str"/>
      <c r="Q7" s="17" t="str"/>
      <c r="R7" s="17" t="str"/>
    </row>
    <row r="8" ht="74" customHeight="1">
      <c r="A8" s="20" t="inlineStr">
        <is>
          <t>TC-004</t>
        </is>
      </c>
      <c r="B8" s="17" t="inlineStr">
        <is>
          <t>Navigation</t>
        </is>
      </c>
      <c r="C8" s="17" t="inlineStr">
        <is>
          <t>Liens gérés</t>
        </is>
      </c>
      <c r="D8" s="17" t="inlineStr">
        <is>
          <t>Les CTA de l'accueil ne pointent ni vers localhost ni vers une preview obsolète.</t>
        </is>
      </c>
      <c r="E8" s="17" t="inlineStr">
        <is>
          <t>Sécurité</t>
        </is>
      </c>
      <c r="F8" s="21" t="inlineStr">
        <is>
          <t>Haute</t>
        </is>
      </c>
      <c r="G8" s="17" t="inlineStr">
        <is>
          <t>Accueil publié</t>
        </is>
      </c>
      <c r="H8" s="17" t="inlineStr">
        <is>
          <t>1. Inspecter les CTA. 2. Ouvrir chaque lien géré. 3. Contrôler le domaine.</t>
        </is>
      </c>
      <c r="I8" s="17" t="inlineStr">
        <is>
          <t>Contenus BackOffice</t>
        </is>
      </c>
      <c r="J8" s="17" t="inlineStr">
        <is>
          <t>Liens HTTPS valides vers le domaine attendu.</t>
        </is>
      </c>
      <c r="K8" s="21" t="inlineStr">
        <is>
          <t>Production Netlify</t>
        </is>
      </c>
      <c r="L8" s="21" t="inlineStr">
        <is>
          <t>Samuel KAKEZ</t>
        </is>
      </c>
      <c r="M8" s="48" t="n">
        <v>46209</v>
      </c>
      <c r="N8" s="21" t="inlineStr">
        <is>
          <t>Réussi</t>
        </is>
      </c>
      <c r="O8" s="17" t="inlineStr">
        <is>
          <t>Conforme au résultat attendu.</t>
        </is>
      </c>
      <c r="P8" s="17" t="str"/>
      <c r="Q8" s="17" t="str"/>
      <c r="R8" s="17" t="str"/>
    </row>
    <row r="9" ht="74" customHeight="1">
      <c r="A9" s="20" t="inlineStr">
        <is>
          <t>TC-005</t>
        </is>
      </c>
      <c r="B9" s="17" t="inlineStr">
        <is>
          <t>Navigation</t>
        </is>
      </c>
      <c r="C9" s="17" t="inlineStr">
        <is>
          <t>Pages légales</t>
        </is>
      </c>
      <c r="D9" s="17" t="inlineStr">
        <is>
          <t>Les pages FAQ, à propos, mentions et conditions sont accessibles.</t>
        </is>
      </c>
      <c r="E9" s="17" t="inlineStr">
        <is>
          <t>Fonctionnel</t>
        </is>
      </c>
      <c r="F9" s="21" t="inlineStr">
        <is>
          <t>Moyenne</t>
        </is>
      </c>
      <c r="G9" s="17" t="inlineStr">
        <is>
          <t>Déploiement accessible</t>
        </is>
      </c>
      <c r="H9" s="17" t="inlineStr">
        <is>
          <t>1. Ouvrir chaque lien du pied de page. 2. Contrôler titre et contenu.</t>
        </is>
      </c>
      <c r="I9" s="17" t="inlineStr">
        <is>
          <t>FR et EN</t>
        </is>
      </c>
      <c r="J9" s="17" t="inlineStr">
        <is>
          <t>Code 200, contenu lisible et locale cohérente.</t>
        </is>
      </c>
      <c r="K9" s="21" t="inlineStr">
        <is>
          <t>Preview Netlify</t>
        </is>
      </c>
      <c r="L9" s="21" t="inlineStr">
        <is>
          <t>Samuel KAKEZ</t>
        </is>
      </c>
      <c r="M9" s="48" t="n">
        <v>46209</v>
      </c>
      <c r="N9" s="21" t="inlineStr">
        <is>
          <t>Réussi</t>
        </is>
      </c>
      <c r="O9" s="17" t="inlineStr">
        <is>
          <t>Conforme au résultat attendu.</t>
        </is>
      </c>
      <c r="P9" s="17" t="str"/>
      <c r="Q9" s="17" t="str"/>
      <c r="R9" s="17" t="str"/>
    </row>
    <row r="10" ht="74" customHeight="1">
      <c r="A10" s="20" t="inlineStr">
        <is>
          <t>TC-006</t>
        </is>
      </c>
      <c r="B10" s="17" t="inlineStr">
        <is>
          <t>Navigation</t>
        </is>
      </c>
      <c r="C10" s="17" t="inlineStr">
        <is>
          <t>Page inconnue</t>
        </is>
      </c>
      <c r="D10" s="17" t="inlineStr">
        <is>
          <t>Une URL inconnue ne révèle pas d'information technique.</t>
        </is>
      </c>
      <c r="E10" s="17" t="inlineStr">
        <is>
          <t>Sécurité</t>
        </is>
      </c>
      <c r="F10" s="21" t="inlineStr">
        <is>
          <t>Moyenne</t>
        </is>
      </c>
      <c r="G10" s="17" t="inlineStr">
        <is>
          <t>Déploiement accessible</t>
        </is>
      </c>
      <c r="H10" s="17" t="inlineStr">
        <is>
          <t>1. Ouvrir une URL inexistante. 2. Examiner l'écran et les journaux navigateur.</t>
        </is>
      </c>
      <c r="I10" s="17" t="inlineStr">
        <is>
          <t>/fr/route-inconnue-test</t>
        </is>
      </c>
      <c r="J10" s="17" t="inlineStr">
        <is>
          <t>Page d'erreur contrôlée, aucune stack trace ni secret.</t>
        </is>
      </c>
      <c r="K10" s="21" t="inlineStr">
        <is>
          <t>Preview Netlify</t>
        </is>
      </c>
      <c r="L10" s="21" t="inlineStr">
        <is>
          <t>Samuel KAKEZ</t>
        </is>
      </c>
      <c r="M10" s="48" t="n">
        <v>46209</v>
      </c>
      <c r="N10" s="21" t="inlineStr">
        <is>
          <t>Réussi</t>
        </is>
      </c>
      <c r="O10" s="17" t="inlineStr">
        <is>
          <t>Conforme au résultat attendu.</t>
        </is>
      </c>
      <c r="P10" s="17" t="str"/>
      <c r="Q10" s="17" t="str"/>
      <c r="R10" s="17" t="str"/>
    </row>
    <row r="11" ht="74" customHeight="1">
      <c r="A11" s="20" t="inlineStr">
        <is>
          <t>TC-007</t>
        </is>
      </c>
      <c r="B11" s="17" t="inlineStr">
        <is>
          <t>Accessibilité</t>
        </is>
      </c>
      <c r="C11" s="17" t="inlineStr">
        <is>
          <t>Navigation clavier</t>
        </is>
      </c>
      <c r="D11" s="17" t="inlineStr">
        <is>
          <t>Les actions principales sont atteignables et visibles au clavier.</t>
        </is>
      </c>
      <c r="E11" s="17" t="inlineStr">
        <is>
          <t>Accessibilité</t>
        </is>
      </c>
      <c r="F11" s="21" t="inlineStr">
        <is>
          <t>Haute</t>
        </is>
      </c>
      <c r="G11" s="17" t="inlineStr">
        <is>
          <t>Accueil chargé</t>
        </is>
      </c>
      <c r="H11" s="17" t="inlineStr">
        <is>
          <t>1. Utiliser Tab et Maj+Tab. 2. Activer menus et liens avec le clavier. 3. Vérifier le focus.</t>
        </is>
      </c>
      <c r="I11" s="17" t="inlineStr">
        <is>
          <t>Sans souris</t>
        </is>
      </c>
      <c r="J11" s="17" t="inlineStr">
        <is>
          <t>Ordre logique, focus visible, aucune zone bloquée.</t>
        </is>
      </c>
      <c r="K11" s="21" t="inlineStr">
        <is>
          <t>Preview Netlify</t>
        </is>
      </c>
      <c r="L11" s="21" t="inlineStr">
        <is>
          <t>Samuel KAKEZ</t>
        </is>
      </c>
      <c r="M11" s="48" t="n">
        <v>46209</v>
      </c>
      <c r="N11" s="21" t="inlineStr">
        <is>
          <t>Réussi</t>
        </is>
      </c>
      <c r="O11" s="17" t="inlineStr">
        <is>
          <t>Conforme au résultat attendu.</t>
        </is>
      </c>
      <c r="P11" s="17" t="str"/>
      <c r="Q11" s="17" t="str"/>
      <c r="R11" s="17" t="str"/>
    </row>
    <row r="12" ht="74" customHeight="1">
      <c r="A12" s="20" t="inlineStr">
        <is>
          <t>TC-008</t>
        </is>
      </c>
      <c r="B12" s="17" t="inlineStr">
        <is>
          <t>Accessibilité</t>
        </is>
      </c>
      <c r="C12" s="17" t="inlineStr">
        <is>
          <t>Zoom 200 %</t>
        </is>
      </c>
      <c r="D12" s="17" t="inlineStr">
        <is>
          <t>Le contenu reste lisible sans perte d'action.</t>
        </is>
      </c>
      <c r="E12" s="17" t="inlineStr">
        <is>
          <t>Accessibilité</t>
        </is>
      </c>
      <c r="F12" s="21" t="inlineStr">
        <is>
          <t>Haute</t>
        </is>
      </c>
      <c r="G12" s="17" t="inlineStr">
        <is>
          <t>Navigateur desktop</t>
        </is>
      </c>
      <c r="H12" s="17" t="inlineStr">
        <is>
          <t>1. Régler le zoom à 200 %. 2. Parcourir accueil, fiche, panier et formulaire.</t>
        </is>
      </c>
      <c r="I12" s="17" t="inlineStr">
        <is>
          <t>Zoom 200 %</t>
        </is>
      </c>
      <c r="J12" s="17" t="inlineStr">
        <is>
          <t>Pas de texte coupé ni de bouton inaccessible.</t>
        </is>
      </c>
      <c r="K12" s="21" t="inlineStr">
        <is>
          <t>Preview Netlify</t>
        </is>
      </c>
      <c r="L12" s="21" t="inlineStr">
        <is>
          <t>Samuel KAKEZ</t>
        </is>
      </c>
      <c r="M12" s="48" t="n">
        <v>46209</v>
      </c>
      <c r="N12" s="21" t="inlineStr">
        <is>
          <t>Réussi</t>
        </is>
      </c>
      <c r="O12" s="17" t="inlineStr">
        <is>
          <t>Conforme au résultat attendu.</t>
        </is>
      </c>
      <c r="P12" s="17" t="str"/>
      <c r="Q12" s="17" t="str"/>
      <c r="R12" s="17" t="str"/>
    </row>
    <row r="13" ht="74" customHeight="1">
      <c r="A13" s="20" t="inlineStr">
        <is>
          <t>TC-009</t>
        </is>
      </c>
      <c r="B13" s="17" t="inlineStr">
        <is>
          <t>Responsive</t>
        </is>
      </c>
      <c r="C13" s="17" t="inlineStr">
        <is>
          <t>Mobile 360 px</t>
        </is>
      </c>
      <c r="D13" s="17" t="inlineStr">
        <is>
          <t>Les parcours publics fonctionnent à 360 px.</t>
        </is>
      </c>
      <c r="E13" s="17" t="inlineStr">
        <is>
          <t>Responsive</t>
        </is>
      </c>
      <c r="F13" s="21" t="inlineStr">
        <is>
          <t>Haute</t>
        </is>
      </c>
      <c r="G13" s="17" t="inlineStr">
        <is>
          <t>Outils responsive</t>
        </is>
      </c>
      <c r="H13" s="17" t="inlineStr">
        <is>
          <t>1. Régler 360 px. 2. Tester menu, recherche, fiche, panier et inscription.</t>
        </is>
      </c>
      <c r="I13" s="17" t="inlineStr">
        <is>
          <t>360 x 800</t>
        </is>
      </c>
      <c r="J13" s="17" t="inlineStr">
        <is>
          <t>Pas de débordement horizontal, actions utilisables.</t>
        </is>
      </c>
      <c r="K13" s="21" t="inlineStr">
        <is>
          <t>Preview Netlify</t>
        </is>
      </c>
      <c r="L13" s="21" t="inlineStr">
        <is>
          <t>Samuel KAKEZ</t>
        </is>
      </c>
      <c r="M13" s="48" t="n">
        <v>46209</v>
      </c>
      <c r="N13" s="21" t="inlineStr">
        <is>
          <t>Réussi</t>
        </is>
      </c>
      <c r="O13" s="17" t="inlineStr">
        <is>
          <t>Conforme au résultat attendu.</t>
        </is>
      </c>
      <c r="P13" s="17" t="str"/>
      <c r="Q13" s="17" t="str"/>
      <c r="R13" s="17" t="str"/>
    </row>
    <row r="14" ht="74" customHeight="1">
      <c r="A14" s="20" t="inlineStr">
        <is>
          <t>TC-010</t>
        </is>
      </c>
      <c r="B14" s="17" t="inlineStr">
        <is>
          <t>Responsive</t>
        </is>
      </c>
      <c r="C14" s="17" t="inlineStr">
        <is>
          <t>Tablette 768 px</t>
        </is>
      </c>
      <c r="D14" s="17" t="inlineStr">
        <is>
          <t>La grille et les formulaires s'adaptent à 768 px.</t>
        </is>
      </c>
      <c r="E14" s="17" t="inlineStr">
        <is>
          <t>Responsive</t>
        </is>
      </c>
      <c r="F14" s="21" t="inlineStr">
        <is>
          <t>Moyenne</t>
        </is>
      </c>
      <c r="G14" s="17" t="inlineStr">
        <is>
          <t>Outils responsive</t>
        </is>
      </c>
      <c r="H14" s="17" t="inlineStr">
        <is>
          <t>1. Régler 768 px. 2. Ouvrir accueil, recherche et dashboard Sales.</t>
        </is>
      </c>
      <c r="I14" s="17" t="inlineStr">
        <is>
          <t>768 x 1024</t>
        </is>
      </c>
      <c r="J14" s="17" t="inlineStr">
        <is>
          <t>Mise en page stable, légendes lisibles.</t>
        </is>
      </c>
      <c r="K14" s="21" t="inlineStr">
        <is>
          <t>Preview Netlify</t>
        </is>
      </c>
      <c r="L14" s="21" t="inlineStr">
        <is>
          <t>Samuel KAKEZ</t>
        </is>
      </c>
      <c r="M14" s="48" t="n">
        <v>46209</v>
      </c>
      <c r="N14" s="21" t="inlineStr">
        <is>
          <t>Réussi</t>
        </is>
      </c>
      <c r="O14" s="17" t="inlineStr">
        <is>
          <t>Conforme au résultat attendu.</t>
        </is>
      </c>
      <c r="P14" s="17" t="str"/>
      <c r="Q14" s="17" t="str"/>
      <c r="R14" s="17" t="str"/>
    </row>
    <row r="15" ht="74" customHeight="1">
      <c r="A15" s="20" t="inlineStr">
        <is>
          <t>TC-011</t>
        </is>
      </c>
      <c r="B15" s="17" t="inlineStr">
        <is>
          <t>Responsive</t>
        </is>
      </c>
      <c r="C15" s="17" t="inlineStr">
        <is>
          <t>Desktop 1440 px</t>
        </is>
      </c>
      <c r="D15" s="17" t="inlineStr">
        <is>
          <t>Les zones larges exploitent l'espace sans étirement nuisible.</t>
        </is>
      </c>
      <c r="E15" s="17" t="inlineStr">
        <is>
          <t>Responsive</t>
        </is>
      </c>
      <c r="F15" s="21" t="inlineStr">
        <is>
          <t>Moyenne</t>
        </is>
      </c>
      <c r="G15" s="17" t="inlineStr">
        <is>
          <t>Outils responsive</t>
        </is>
      </c>
      <c r="H15" s="17" t="inlineStr">
        <is>
          <t>1. Régler 1440 px. 2. Contrôler contenu public et BackOffice.</t>
        </is>
      </c>
      <c r="I15" s="17" t="inlineStr">
        <is>
          <t>1440 x 900</t>
        </is>
      </c>
      <c r="J15" s="17" t="inlineStr">
        <is>
          <t>Alignements cohérents et tableaux exploitables.</t>
        </is>
      </c>
      <c r="K15" s="21" t="inlineStr">
        <is>
          <t>Preview Netlify</t>
        </is>
      </c>
      <c r="L15" s="21" t="inlineStr">
        <is>
          <t>Samuel KAKEZ</t>
        </is>
      </c>
      <c r="M15" s="48" t="n">
        <v>46210</v>
      </c>
      <c r="N15" s="21" t="inlineStr">
        <is>
          <t>Réussi</t>
        </is>
      </c>
      <c r="O15" s="17" t="inlineStr">
        <is>
          <t>Conforme au résultat attendu.</t>
        </is>
      </c>
      <c r="P15" s="17" t="str"/>
      <c r="Q15" s="17" t="str"/>
      <c r="R15" s="17" t="str"/>
    </row>
    <row r="16" ht="74" customHeight="1">
      <c r="A16" s="20" t="inlineStr">
        <is>
          <t>TC-012</t>
        </is>
      </c>
      <c r="B16" s="17" t="inlineStr">
        <is>
          <t>Accessibilité</t>
        </is>
      </c>
      <c r="C16" s="17" t="inlineStr">
        <is>
          <t>Graphiques Sales</t>
        </is>
      </c>
      <c r="D16" s="17" t="inlineStr">
        <is>
          <t>Les graphiques possèdent titres, légendes et résumés textuels.</t>
        </is>
      </c>
      <c r="E16" s="17" t="inlineStr">
        <is>
          <t>Accessibilité</t>
        </is>
      </c>
      <c r="F16" s="21" t="inlineStr">
        <is>
          <t>Haute</t>
        </is>
      </c>
      <c r="G16" s="17" t="inlineStr">
        <is>
          <t>Admin AAL2 et ventes de test</t>
        </is>
      </c>
      <c r="H16" s="17" t="inlineStr">
        <is>
          <t>1. Ouvrir Sales. 2. Naviguer au clavier. 3. Contrôler résumés et infobulles.</t>
        </is>
      </c>
      <c r="I16" s="17" t="inlineStr">
        <is>
          <t>7d et 5w</t>
        </is>
      </c>
      <c r="J16" s="17" t="inlineStr">
        <is>
          <t>Informations essentielles disponibles sans dépendre uniquement de la couleur.</t>
        </is>
      </c>
      <c r="K16" s="21" t="inlineStr">
        <is>
          <t>Preview Netlify</t>
        </is>
      </c>
      <c r="L16" s="21" t="inlineStr">
        <is>
          <t>Samuel KAKEZ</t>
        </is>
      </c>
      <c r="M16" s="48" t="n">
        <v>46210</v>
      </c>
      <c r="N16" s="21" t="inlineStr">
        <is>
          <t>Réussi</t>
        </is>
      </c>
      <c r="O16" s="17" t="inlineStr">
        <is>
          <t>Conforme au résultat attendu.</t>
        </is>
      </c>
      <c r="P16" s="17" t="str"/>
      <c r="Q16" s="17" t="str"/>
      <c r="R16" s="17" t="str"/>
    </row>
    <row r="17" ht="74" customHeight="1">
      <c r="A17" s="20" t="inlineStr">
        <is>
          <t>TC-013</t>
        </is>
      </c>
      <c r="B17" s="17" t="inlineStr">
        <is>
          <t>Authentification</t>
        </is>
      </c>
      <c r="C17" s="17" t="inlineStr">
        <is>
          <t>Inscription valide</t>
        </is>
      </c>
      <c r="D17" s="17" t="inlineStr">
        <is>
          <t>Un visiteur crée un compte avec un mot de passe de huit caractères ou plus.</t>
        </is>
      </c>
      <c r="E17" s="17" t="inlineStr">
        <is>
          <t>Fonctionnel</t>
        </is>
      </c>
      <c r="F17" s="21" t="inlineStr">
        <is>
          <t>Critique</t>
        </is>
      </c>
      <c r="G17" s="17" t="inlineStr">
        <is>
          <t>Adresse e-mail de test neuve</t>
        </is>
      </c>
      <c r="H17" s="17" t="inlineStr">
        <is>
          <t>1. Ouvrir l'inscription. 2. Saisir des valeurs valides. 3. Valider une fois.</t>
        </is>
      </c>
      <c r="I17" s="17" t="inlineStr">
        <is>
          <t>Mot de passe 8+ caractères</t>
        </is>
      </c>
      <c r="J17" s="17" t="inlineStr">
        <is>
          <t>Une seule notification d'envoi, aucun faux rejet de longueur.</t>
        </is>
      </c>
      <c r="K17" s="21" t="inlineStr">
        <is>
          <t>Preview Netlify</t>
        </is>
      </c>
      <c r="L17" s="21" t="inlineStr">
        <is>
          <t>Samuel KAKEZ</t>
        </is>
      </c>
      <c r="M17" s="48" t="n">
        <v>46210</v>
      </c>
      <c r="N17" s="21" t="inlineStr">
        <is>
          <t>Réussi</t>
        </is>
      </c>
      <c r="O17" s="17" t="inlineStr">
        <is>
          <t>Conforme au résultat attendu.</t>
        </is>
      </c>
      <c r="P17" s="17" t="str"/>
      <c r="Q17" s="17" t="str"/>
      <c r="R17" s="17" t="str"/>
    </row>
    <row r="18" ht="74" customHeight="1">
      <c r="A18" s="20" t="inlineStr">
        <is>
          <t>TC-014</t>
        </is>
      </c>
      <c r="B18" s="17" t="inlineStr">
        <is>
          <t>Authentification</t>
        </is>
      </c>
      <c r="C18" s="17" t="inlineStr">
        <is>
          <t>Mot de passe court</t>
        </is>
      </c>
      <c r="D18" s="17" t="inlineStr">
        <is>
          <t>Un mot de passe de moins de huit caractères est refusé.</t>
        </is>
      </c>
      <c r="E18" s="17" t="inlineStr">
        <is>
          <t>Sécurité</t>
        </is>
      </c>
      <c r="F18" s="21" t="inlineStr">
        <is>
          <t>Haute</t>
        </is>
      </c>
      <c r="G18" s="17" t="inlineStr">
        <is>
          <t>Formulaire d'inscription</t>
        </is>
      </c>
      <c r="H18" s="17" t="inlineStr">
        <is>
          <t>1. Saisir un mot de passe court. 2. Confirmer. 3. Valider.</t>
        </is>
      </c>
      <c r="I18" s="17" t="inlineStr">
        <is>
          <t>7 caractères</t>
        </is>
      </c>
      <c r="J18" s="17" t="inlineStr">
        <is>
          <t>Validation explicite, aucun compte créé.</t>
        </is>
      </c>
      <c r="K18" s="21" t="inlineStr">
        <is>
          <t>Preview Netlify</t>
        </is>
      </c>
      <c r="L18" s="21" t="inlineStr">
        <is>
          <t>Samuel KAKEZ</t>
        </is>
      </c>
      <c r="M18" s="48" t="n">
        <v>46210</v>
      </c>
      <c r="N18" s="21" t="inlineStr">
        <is>
          <t>Réussi</t>
        </is>
      </c>
      <c r="O18" s="17" t="inlineStr">
        <is>
          <t>Conforme au résultat attendu.</t>
        </is>
      </c>
      <c r="P18" s="17" t="str"/>
      <c r="Q18" s="17" t="str"/>
      <c r="R18" s="17" t="str"/>
    </row>
    <row r="19" ht="74" customHeight="1">
      <c r="A19" s="20" t="inlineStr">
        <is>
          <t>TC-015</t>
        </is>
      </c>
      <c r="B19" s="17" t="inlineStr">
        <is>
          <t>Authentification</t>
        </is>
      </c>
      <c r="C19" s="17" t="inlineStr">
        <is>
          <t>Confirmation différente</t>
        </is>
      </c>
      <c r="D19" s="17" t="inlineStr">
        <is>
          <t>La confirmation du mot de passe doit correspondre.</t>
        </is>
      </c>
      <c r="E19" s="17" t="inlineStr">
        <is>
          <t>Fonctionnel</t>
        </is>
      </c>
      <c r="F19" s="21" t="inlineStr">
        <is>
          <t>Haute</t>
        </is>
      </c>
      <c r="G19" s="17" t="inlineStr">
        <is>
          <t>Formulaire d'inscription</t>
        </is>
      </c>
      <c r="H19" s="17" t="inlineStr">
        <is>
          <t>1. Saisir deux valeurs différentes. 2. Valider.</t>
        </is>
      </c>
      <c r="I19" s="17" t="inlineStr">
        <is>
          <t>Deux mots de passe</t>
        </is>
      </c>
      <c r="J19" s="17" t="inlineStr">
        <is>
          <t>Erreur locale claire, aucune requête d'inscription valide.</t>
        </is>
      </c>
      <c r="K19" s="21" t="inlineStr">
        <is>
          <t>Preview Netlify</t>
        </is>
      </c>
      <c r="L19" s="21" t="inlineStr">
        <is>
          <t>Samuel KAKEZ</t>
        </is>
      </c>
      <c r="M19" s="48" t="n">
        <v>46210</v>
      </c>
      <c r="N19" s="21" t="inlineStr">
        <is>
          <t>Réussi</t>
        </is>
      </c>
      <c r="O19" s="17" t="inlineStr">
        <is>
          <t>Conforme au résultat attendu.</t>
        </is>
      </c>
      <c r="P19" s="17" t="str"/>
      <c r="Q19" s="17" t="str"/>
      <c r="R19" s="17" t="str"/>
    </row>
    <row r="20" ht="74" customHeight="1">
      <c r="A20" s="20" t="inlineStr">
        <is>
          <t>TC-016</t>
        </is>
      </c>
      <c r="B20" s="17" t="inlineStr">
        <is>
          <t>Authentification</t>
        </is>
      </c>
      <c r="C20" s="17" t="inlineStr">
        <is>
          <t>Confirmation e-mail</t>
        </is>
      </c>
      <c r="D20" s="17" t="inlineStr">
        <is>
          <t>Le callback active le compte et n'affiche pas de lien invalide après succès.</t>
        </is>
      </c>
      <c r="E20" s="17" t="inlineStr">
        <is>
          <t>Intégration</t>
        </is>
      </c>
      <c r="F20" s="21" t="inlineStr">
        <is>
          <t>Critique</t>
        </is>
      </c>
      <c r="G20" s="17" t="inlineStr">
        <is>
          <t>Inscription réussie et e-mail reçu</t>
        </is>
      </c>
      <c r="H20" s="17" t="inlineStr">
        <is>
          <t>1. Cliquer le lien une fois. 2. Observer la redirection. 3. Se connecter.</t>
        </is>
      </c>
      <c r="I20" s="17" t="inlineStr">
        <is>
          <t>Lien Supabase frais</t>
        </is>
      </c>
      <c r="J20" s="17" t="inlineStr">
        <is>
          <t>Compte activé, message cohérent, connexion possible.</t>
        </is>
      </c>
      <c r="K20" s="21" t="inlineStr">
        <is>
          <t>Preview Netlify</t>
        </is>
      </c>
      <c r="L20" s="21" t="inlineStr">
        <is>
          <t>Samuel KAKEZ</t>
        </is>
      </c>
      <c r="M20" s="48" t="n">
        <v>46210</v>
      </c>
      <c r="N20" s="21" t="inlineStr">
        <is>
          <t>Réussi</t>
        </is>
      </c>
      <c r="O20" s="17" t="inlineStr">
        <is>
          <t>Conforme au résultat attendu.</t>
        </is>
      </c>
      <c r="P20" s="17" t="str"/>
      <c r="Q20" s="17" t="str"/>
      <c r="R20" s="17" t="str"/>
    </row>
    <row r="21" ht="74" customHeight="1">
      <c r="A21" s="20" t="inlineStr">
        <is>
          <t>TC-017</t>
        </is>
      </c>
      <c r="B21" s="17" t="inlineStr">
        <is>
          <t>Authentification</t>
        </is>
      </c>
      <c r="C21" s="17" t="inlineStr">
        <is>
          <t>Lien consommé</t>
        </is>
      </c>
      <c r="D21" s="17" t="inlineStr">
        <is>
          <t>Un lien déjà utilisé produit une réponse sûre.</t>
        </is>
      </c>
      <c r="E21" s="17" t="inlineStr">
        <is>
          <t>Sécurité</t>
        </is>
      </c>
      <c r="F21" s="21" t="inlineStr">
        <is>
          <t>Moyenne</t>
        </is>
      </c>
      <c r="G21" s="17" t="inlineStr">
        <is>
          <t>Compte déjà confirmé</t>
        </is>
      </c>
      <c r="H21" s="17" t="inlineStr">
        <is>
          <t>1. Réouvrir le lien consommé. 2. Observer le message. 3. Tenter une connexion normale.</t>
        </is>
      </c>
      <c r="I21" s="17" t="inlineStr">
        <is>
          <t>Ancien callback</t>
        </is>
      </c>
      <c r="J21" s="17" t="inlineStr">
        <is>
          <t>Aucune stack, compte toujours actif, aide compréhensible.</t>
        </is>
      </c>
      <c r="K21" s="21" t="inlineStr">
        <is>
          <t>Preview Netlify</t>
        </is>
      </c>
      <c r="L21" s="21" t="inlineStr">
        <is>
          <t>Samuel KAKEZ</t>
        </is>
      </c>
      <c r="M21" s="48" t="n">
        <v>46210</v>
      </c>
      <c r="N21" s="21" t="inlineStr">
        <is>
          <t>Réussi</t>
        </is>
      </c>
      <c r="O21" s="17" t="inlineStr">
        <is>
          <t>Conforme au résultat attendu.</t>
        </is>
      </c>
      <c r="P21" s="17" t="str"/>
      <c r="Q21" s="17" t="str"/>
      <c r="R21" s="17" t="str"/>
    </row>
    <row r="22" ht="74" customHeight="1">
      <c r="A22" s="20" t="inlineStr">
        <is>
          <t>TC-018</t>
        </is>
      </c>
      <c r="B22" s="17" t="inlineStr">
        <is>
          <t>Authentification</t>
        </is>
      </c>
      <c r="C22" s="17" t="inlineStr">
        <is>
          <t>Connexion valide</t>
        </is>
      </c>
      <c r="D22" s="17" t="inlineStr">
        <is>
          <t>Un client actif ouvre une session et accède à son espace.</t>
        </is>
      </c>
      <c r="E22" s="17" t="inlineStr">
        <is>
          <t>Fonctionnel</t>
        </is>
      </c>
      <c r="F22" s="21" t="inlineStr">
        <is>
          <t>Critique</t>
        </is>
      </c>
      <c r="G22" s="17" t="inlineStr">
        <is>
          <t>Compte client actif</t>
        </is>
      </c>
      <c r="H22" s="17" t="inlineStr">
        <is>
          <t>1. Saisir e-mail et mot de passe. 2. Valider. 3. Ouvrir l'espace client.</t>
        </is>
      </c>
      <c r="I22" s="17" t="inlineStr">
        <is>
          <t>Compte test</t>
        </is>
      </c>
      <c r="J22" s="17" t="inlineStr">
        <is>
          <t>Session créée et données du bon compte.</t>
        </is>
      </c>
      <c r="K22" s="21" t="inlineStr">
        <is>
          <t>Preview Netlify</t>
        </is>
      </c>
      <c r="L22" s="21" t="inlineStr">
        <is>
          <t>Samuel KAKEZ</t>
        </is>
      </c>
      <c r="M22" s="48" t="n">
        <v>46210</v>
      </c>
      <c r="N22" s="21" t="inlineStr">
        <is>
          <t>Réussi</t>
        </is>
      </c>
      <c r="O22" s="17" t="inlineStr">
        <is>
          <t>Conforme au résultat attendu.</t>
        </is>
      </c>
      <c r="P22" s="17" t="str"/>
      <c r="Q22" s="17" t="str"/>
      <c r="R22" s="17" t="str"/>
    </row>
    <row r="23" ht="74" customHeight="1">
      <c r="A23" s="20" t="inlineStr">
        <is>
          <t>TC-019</t>
        </is>
      </c>
      <c r="B23" s="17" t="inlineStr">
        <is>
          <t>Authentification</t>
        </is>
      </c>
      <c r="C23" s="17" t="inlineStr">
        <is>
          <t>Connexion refusée</t>
        </is>
      </c>
      <c r="D23" s="17" t="inlineStr">
        <is>
          <t>Des identifiants invalides n'ouvrent aucune session.</t>
        </is>
      </c>
      <c r="E23" s="17" t="inlineStr">
        <is>
          <t>Sécurité</t>
        </is>
      </c>
      <c r="F23" s="21" t="inlineStr">
        <is>
          <t>Critique</t>
        </is>
      </c>
      <c r="G23" s="17" t="inlineStr">
        <is>
          <t>Compte test</t>
        </is>
      </c>
      <c r="H23" s="17" t="inlineStr">
        <is>
          <t>1. Saisir un mauvais mot de passe. 2. Valider. 3. Actualiser.</t>
        </is>
      </c>
      <c r="I23" s="17" t="inlineStr">
        <is>
          <t>Mot de passe erroné</t>
        </is>
      </c>
      <c r="J23" s="17" t="inlineStr">
        <is>
          <t>Message non bavard et session absente.</t>
        </is>
      </c>
      <c r="K23" s="21" t="inlineStr">
        <is>
          <t>Preview Netlify</t>
        </is>
      </c>
      <c r="L23" s="21" t="inlineStr">
        <is>
          <t>Samuel KAKEZ</t>
        </is>
      </c>
      <c r="M23" s="48" t="n">
        <v>46210</v>
      </c>
      <c r="N23" s="21" t="inlineStr">
        <is>
          <t>Réussi</t>
        </is>
      </c>
      <c r="O23" s="17" t="inlineStr">
        <is>
          <t>Conforme au résultat attendu.</t>
        </is>
      </c>
      <c r="P23" s="17" t="str"/>
      <c r="Q23" s="17" t="str"/>
      <c r="R23" s="17" t="str"/>
    </row>
    <row r="24" ht="74" customHeight="1">
      <c r="A24" s="20" t="inlineStr">
        <is>
          <t>TC-020</t>
        </is>
      </c>
      <c r="B24" s="17" t="inlineStr">
        <is>
          <t>Authentification</t>
        </is>
      </c>
      <c r="C24" s="17" t="inlineStr">
        <is>
          <t>Récupération</t>
        </is>
      </c>
      <c r="D24" s="17" t="inlineStr">
        <is>
          <t>Le lien de récupération permet de changer le mot de passe.</t>
        </is>
      </c>
      <c r="E24" s="17" t="inlineStr">
        <is>
          <t>Intégration</t>
        </is>
      </c>
      <c r="F24" s="21" t="inlineStr">
        <is>
          <t>Haute</t>
        </is>
      </c>
      <c r="G24" s="17" t="inlineStr">
        <is>
          <t>Compte et boîte de test</t>
        </is>
      </c>
      <c r="H24" s="17" t="inlineStr">
        <is>
          <t>1. Demander le lien. 2. L'ouvrir. 3. Définir une nouvelle valeur. 4. Se connecter.</t>
        </is>
      </c>
      <c r="I24" s="17" t="inlineStr">
        <is>
          <t>Mot de passe neuf</t>
        </is>
      </c>
      <c r="J24" s="17" t="inlineStr">
        <is>
          <t>Ancien mot de passe refusé, nouveau accepté.</t>
        </is>
      </c>
      <c r="K24" s="21" t="inlineStr">
        <is>
          <t>Preview Netlify</t>
        </is>
      </c>
      <c r="L24" s="21" t="inlineStr">
        <is>
          <t>Samuel KAKEZ</t>
        </is>
      </c>
      <c r="M24" s="48" t="n">
        <v>46210</v>
      </c>
      <c r="N24" s="21" t="inlineStr">
        <is>
          <t>Réussi</t>
        </is>
      </c>
      <c r="O24" s="17" t="inlineStr">
        <is>
          <t>Conforme au résultat attendu.</t>
        </is>
      </c>
      <c r="P24" s="17" t="str"/>
      <c r="Q24" s="17" t="str"/>
      <c r="R24" s="17" t="str"/>
    </row>
    <row r="25" ht="74" customHeight="1">
      <c r="A25" s="20" t="inlineStr">
        <is>
          <t>TC-021</t>
        </is>
      </c>
      <c r="B25" s="17" t="inlineStr">
        <is>
          <t>Authentification</t>
        </is>
      </c>
      <c r="C25" s="17" t="inlineStr">
        <is>
          <t>MFA administrateur</t>
        </is>
      </c>
      <c r="D25" s="17" t="inlineStr">
        <is>
          <t>Le BackOffice exige une session AAL2.</t>
        </is>
      </c>
      <c r="E25" s="17" t="inlineStr">
        <is>
          <t>Sécurité</t>
        </is>
      </c>
      <c r="F25" s="21" t="inlineStr">
        <is>
          <t>Critique</t>
        </is>
      </c>
      <c r="G25" s="17" t="inlineStr">
        <is>
          <t>Compte admin actif avec TOTP</t>
        </is>
      </c>
      <c r="H25" s="17" t="inlineStr">
        <is>
          <t>1. Se connecter. 2. Tenter /fr/admin avant TOTP. 3. Valider le TOTP. 4. Réessayer.</t>
        </is>
      </c>
      <c r="I25" s="17" t="inlineStr">
        <is>
          <t>Code TOTP valide</t>
        </is>
      </c>
      <c r="J25" s="17" t="inlineStr">
        <is>
          <t>Redirection avant AAL2, accès après AAL2.</t>
        </is>
      </c>
      <c r="K25" s="21" t="inlineStr">
        <is>
          <t>Preview Netlify</t>
        </is>
      </c>
      <c r="L25" s="21" t="inlineStr">
        <is>
          <t>Samuel KAKEZ</t>
        </is>
      </c>
      <c r="M25" s="48" t="n">
        <v>46211</v>
      </c>
      <c r="N25" s="21" t="inlineStr">
        <is>
          <t>Réussi</t>
        </is>
      </c>
      <c r="O25" s="17" t="inlineStr">
        <is>
          <t>Conforme au résultat attendu.</t>
        </is>
      </c>
      <c r="P25" s="17" t="str"/>
      <c r="Q25" s="17" t="str"/>
      <c r="R25" s="17" t="str"/>
    </row>
    <row r="26" ht="74" customHeight="1">
      <c r="A26" s="20" t="inlineStr">
        <is>
          <t>TC-022</t>
        </is>
      </c>
      <c r="B26" s="17" t="inlineStr">
        <is>
          <t>Catalogue</t>
        </is>
      </c>
      <c r="C26" s="17" t="inlineStr">
        <is>
          <t>Liste active</t>
        </is>
      </c>
      <c r="D26" s="17" t="inlineStr">
        <is>
          <t>Seuls les produits publiés sont visibles publiquement.</t>
        </is>
      </c>
      <c r="E26" s="17" t="inlineStr">
        <is>
          <t>Fonctionnel</t>
        </is>
      </c>
      <c r="F26" s="21" t="inlineStr">
        <is>
          <t>Haute</t>
        </is>
      </c>
      <c r="G26" s="17" t="inlineStr">
        <is>
          <t>Produits actifs et inactifs en base</t>
        </is>
      </c>
      <c r="H26" s="17" t="inlineStr">
        <is>
          <t>1. Ouvrir l'accueil et une catégorie. 2. Comparer avec le BackOffice.</t>
        </is>
      </c>
      <c r="I26" s="17" t="inlineStr">
        <is>
          <t>Jeu mixte</t>
        </is>
      </c>
      <c r="J26" s="17" t="inlineStr">
        <is>
          <t>Produits inactifs absents, actifs consultables.</t>
        </is>
      </c>
      <c r="K26" s="21" t="inlineStr">
        <is>
          <t>Preview Netlify</t>
        </is>
      </c>
      <c r="L26" s="21" t="inlineStr">
        <is>
          <t>Samuel KAKEZ</t>
        </is>
      </c>
      <c r="M26" s="48" t="n">
        <v>46211</v>
      </c>
      <c r="N26" s="21" t="inlineStr">
        <is>
          <t>Réussi</t>
        </is>
      </c>
      <c r="O26" s="17" t="inlineStr">
        <is>
          <t>Conforme au résultat attendu.</t>
        </is>
      </c>
      <c r="P26" s="17" t="str"/>
      <c r="Q26" s="17" t="str"/>
      <c r="R26" s="17" t="str"/>
    </row>
    <row r="27" ht="74" customHeight="1">
      <c r="A27" s="20" t="inlineStr">
        <is>
          <t>TC-023</t>
        </is>
      </c>
      <c r="B27" s="17" t="inlineStr">
        <is>
          <t>Catalogue</t>
        </is>
      </c>
      <c r="C27" s="17" t="inlineStr">
        <is>
          <t>Fiche produit</t>
        </is>
      </c>
      <c r="D27" s="17" t="inlineStr">
        <is>
          <t>La fiche affiche traduction, disponibilité, images et tarifs cohérents.</t>
        </is>
      </c>
      <c r="E27" s="17" t="inlineStr">
        <is>
          <t>Fonctionnel</t>
        </is>
      </c>
      <c r="F27" s="21" t="inlineStr">
        <is>
          <t>Haute</t>
        </is>
      </c>
      <c r="G27" s="17" t="inlineStr">
        <is>
          <t>Produit complet</t>
        </is>
      </c>
      <c r="H27" s="17" t="inlineStr">
        <is>
          <t>1. Ouvrir en FR puis EN. 2. Changer la périodicité. 3. Modifier les utilisateurs.</t>
        </is>
      </c>
      <c r="I27" s="17" t="inlineStr">
        <is>
          <t>Produit mensuel et annuel</t>
        </is>
      </c>
      <c r="J27" s="17" t="inlineStr">
        <is>
          <t>Prix recalculé, textes et images corrects.</t>
        </is>
      </c>
      <c r="K27" s="21" t="inlineStr">
        <is>
          <t>Preview Netlify</t>
        </is>
      </c>
      <c r="L27" s="21" t="inlineStr">
        <is>
          <t>Samuel KAKEZ</t>
        </is>
      </c>
      <c r="M27" s="48" t="n">
        <v>46211</v>
      </c>
      <c r="N27" s="21" t="inlineStr">
        <is>
          <t>Réussi</t>
        </is>
      </c>
      <c r="O27" s="17" t="inlineStr">
        <is>
          <t>Conforme au résultat attendu.</t>
        </is>
      </c>
      <c r="P27" s="17" t="str"/>
      <c r="Q27" s="17" t="str"/>
      <c r="R27" s="17" t="str"/>
    </row>
    <row r="28" ht="74" customHeight="1">
      <c r="A28" s="20" t="inlineStr">
        <is>
          <t>TC-024</t>
        </is>
      </c>
      <c r="B28" s="17" t="inlineStr">
        <is>
          <t>Catalogue</t>
        </is>
      </c>
      <c r="C28" s="17" t="inlineStr">
        <is>
          <t>Produit sur devis</t>
        </is>
      </c>
      <c r="D28" s="17" t="inlineStr">
        <is>
          <t>Un produit non achetable n'ouvre pas de checkout.</t>
        </is>
      </c>
      <c r="E28" s="17" t="inlineStr">
        <is>
          <t>Sécurité</t>
        </is>
      </c>
      <c r="F28" s="21" t="inlineStr">
        <is>
          <t>Haute</t>
        </is>
      </c>
      <c r="G28" s="17" t="inlineStr">
        <is>
          <t>Produit configuré sur devis</t>
        </is>
      </c>
      <c r="H28" s="17" t="inlineStr">
        <is>
          <t>1. Ouvrir la fiche. 2. Examiner les actions. 3. Tenter une ancienne URL si disponible.</t>
        </is>
      </c>
      <c r="I28" s="17" t="inlineStr">
        <is>
          <t>Produit contact sales</t>
        </is>
      </c>
      <c r="J28" s="17" t="inlineStr">
        <is>
          <t>Action de contact, refus serveur d'un checkout direct.</t>
        </is>
      </c>
      <c r="K28" s="21" t="inlineStr">
        <is>
          <t>Preview Netlify</t>
        </is>
      </c>
      <c r="L28" s="21" t="inlineStr">
        <is>
          <t>Samuel KAKEZ</t>
        </is>
      </c>
      <c r="M28" s="48" t="n">
        <v>46211</v>
      </c>
      <c r="N28" s="21" t="inlineStr">
        <is>
          <t>Réussi</t>
        </is>
      </c>
      <c r="O28" s="17" t="inlineStr">
        <is>
          <t>Conforme au résultat attendu.</t>
        </is>
      </c>
      <c r="P28" s="17" t="str"/>
      <c r="Q28" s="17" t="str"/>
      <c r="R28" s="17" t="str"/>
    </row>
    <row r="29" ht="74" customHeight="1">
      <c r="A29" s="20" t="inlineStr">
        <is>
          <t>TC-025</t>
        </is>
      </c>
      <c r="B29" s="17" t="inlineStr">
        <is>
          <t>Recherche</t>
        </is>
      </c>
      <c r="C29" s="17" t="inlineStr">
        <is>
          <t>Suggestions</t>
        </is>
      </c>
      <c r="D29" s="17" t="inlineStr">
        <is>
          <t>La route de recherche fournit des suggestions localisées.</t>
        </is>
      </c>
      <c r="E29" s="17" t="inlineStr">
        <is>
          <t>Fonctionnel</t>
        </is>
      </c>
      <c r="F29" s="21" t="inlineStr">
        <is>
          <t>Haute</t>
        </is>
      </c>
      <c r="G29" s="17" t="inlineStr">
        <is>
          <t>Catalogue de test</t>
        </is>
      </c>
      <c r="H29" s="17" t="inlineStr">
        <is>
          <t>1. Saisir un terme partiel. 2. Choisir une suggestion. 3. Contrôler la fiche.</t>
        </is>
      </c>
      <c r="I29" s="17" t="inlineStr">
        <is>
          <t>SOC</t>
        </is>
      </c>
      <c r="J29" s="17" t="inlineStr">
        <is>
          <t>Suggestions pertinentes et URL correcte.</t>
        </is>
      </c>
      <c r="K29" s="21" t="inlineStr">
        <is>
          <t>Preview Netlify</t>
        </is>
      </c>
      <c r="L29" s="21" t="inlineStr">
        <is>
          <t>Samuel KAKEZ</t>
        </is>
      </c>
      <c r="M29" s="48" t="n">
        <v>46211</v>
      </c>
      <c r="N29" s="21" t="inlineStr">
        <is>
          <t>Réussi</t>
        </is>
      </c>
      <c r="O29" s="17" t="inlineStr">
        <is>
          <t>Conforme au résultat attendu.</t>
        </is>
      </c>
      <c r="P29" s="17" t="str"/>
      <c r="Q29" s="17" t="str"/>
      <c r="R29" s="17" t="str"/>
    </row>
    <row r="30" ht="74" customHeight="1">
      <c r="A30" s="20" t="inlineStr">
        <is>
          <t>TC-026</t>
        </is>
      </c>
      <c r="B30" s="17" t="inlineStr">
        <is>
          <t>Recherche</t>
        </is>
      </c>
      <c r="C30" s="17" t="inlineStr">
        <is>
          <t>Aucun résultat</t>
        </is>
      </c>
      <c r="D30" s="17" t="inlineStr">
        <is>
          <t>La recherche vide ou sans correspondance reste contrôlée.</t>
        </is>
      </c>
      <c r="E30" s="17" t="inlineStr">
        <is>
          <t>Fonctionnel</t>
        </is>
      </c>
      <c r="F30" s="21" t="inlineStr">
        <is>
          <t>Moyenne</t>
        </is>
      </c>
      <c r="G30" s="17" t="inlineStr">
        <is>
          <t>Catalogue accessible</t>
        </is>
      </c>
      <c r="H30" s="17" t="inlineStr">
        <is>
          <t>1. Rechercher une chaîne inconnue. 2. Vérifier l'état vide.</t>
        </is>
      </c>
      <c r="I30" s="17" t="inlineStr">
        <is>
          <t>zz-cyna-no-match</t>
        </is>
      </c>
      <c r="J30" s="17" t="inlineStr">
        <is>
          <t>Message lisible, aucune erreur serveur.</t>
        </is>
      </c>
      <c r="K30" s="21" t="inlineStr">
        <is>
          <t>Preview Netlify</t>
        </is>
      </c>
      <c r="L30" s="21" t="inlineStr">
        <is>
          <t>Samuel KAKEZ</t>
        </is>
      </c>
      <c r="M30" s="48" t="n">
        <v>46211</v>
      </c>
      <c r="N30" s="21" t="inlineStr">
        <is>
          <t>Réussi</t>
        </is>
      </c>
      <c r="O30" s="17" t="inlineStr">
        <is>
          <t>Conforme au résultat attendu.</t>
        </is>
      </c>
      <c r="P30" s="17" t="str"/>
      <c r="Q30" s="17" t="str"/>
      <c r="R30" s="17" t="str"/>
    </row>
    <row r="31" ht="74" customHeight="1">
      <c r="A31" s="20" t="inlineStr">
        <is>
          <t>TC-027</t>
        </is>
      </c>
      <c r="B31" s="17" t="inlineStr">
        <is>
          <t>Catalogue</t>
        </is>
      </c>
      <c r="C31" s="17" t="inlineStr">
        <is>
          <t>Suppression protégée</t>
        </is>
      </c>
      <c r="D31" s="17" t="inlineStr">
        <is>
          <t>Un produit référencé par l'historique ne disparaît pas sans contrôle.</t>
        </is>
      </c>
      <c r="E31" s="17" t="inlineStr">
        <is>
          <t>Sécurité</t>
        </is>
      </c>
      <c r="F31" s="21" t="inlineStr">
        <is>
          <t>Haute</t>
        </is>
      </c>
      <c r="G31" s="17" t="inlineStr">
        <is>
          <t>Admin AAL2 et produit référencé</t>
        </is>
      </c>
      <c r="H31" s="17" t="inlineStr">
        <is>
          <t>1. Ouvrir l'édition. 2. Demander la suppression. 3. Contrôler le refus ou la désactivation.</t>
        </is>
      </c>
      <c r="I31" s="17" t="inlineStr">
        <is>
          <t>Produit en commande</t>
        </is>
      </c>
      <c r="J31" s="17" t="inlineStr">
        <is>
          <t>Intégrité référentielle conservée.</t>
        </is>
      </c>
      <c r="K31" s="21" t="inlineStr">
        <is>
          <t>Preview Netlify</t>
        </is>
      </c>
      <c r="L31" s="21" t="inlineStr">
        <is>
          <t>Samuel KAKEZ</t>
        </is>
      </c>
      <c r="M31" s="48" t="n">
        <v>46211</v>
      </c>
      <c r="N31" s="21" t="inlineStr">
        <is>
          <t>Réussi</t>
        </is>
      </c>
      <c r="O31" s="17" t="inlineStr">
        <is>
          <t>Conforme au résultat attendu.</t>
        </is>
      </c>
      <c r="P31" s="17" t="str"/>
      <c r="Q31" s="17" t="str"/>
      <c r="R31" s="17" t="str"/>
    </row>
    <row r="32" ht="74" customHeight="1">
      <c r="A32" s="20" t="inlineStr">
        <is>
          <t>TC-028</t>
        </is>
      </c>
      <c r="B32" s="17" t="inlineStr">
        <is>
          <t>Panier</t>
        </is>
      </c>
      <c r="C32" s="17" t="inlineStr">
        <is>
          <t>Ajout</t>
        </is>
      </c>
      <c r="D32" s="17" t="inlineStr">
        <is>
          <t>Une offre valide peut être ajoutée au panier.</t>
        </is>
      </c>
      <c r="E32" s="17" t="inlineStr">
        <is>
          <t>Fonctionnel</t>
        </is>
      </c>
      <c r="F32" s="21" t="inlineStr">
        <is>
          <t>Critique</t>
        </is>
      </c>
      <c r="G32" s="17" t="inlineStr">
        <is>
          <t>Produit achetable</t>
        </is>
      </c>
      <c r="H32" s="17" t="inlineStr">
        <is>
          <t>1. Choisir tarif et utilisateurs. 2. Ajouter. 3. Ouvrir le panier.</t>
        </is>
      </c>
      <c r="I32" s="17" t="inlineStr">
        <is>
          <t>Produit récurrent</t>
        </is>
      </c>
      <c r="J32" s="17" t="inlineStr">
        <is>
          <t>Une ligne unique avec valeurs choisies et total cohérent.</t>
        </is>
      </c>
      <c r="K32" s="21" t="inlineStr">
        <is>
          <t>Preview Netlify</t>
        </is>
      </c>
      <c r="L32" s="21" t="inlineStr">
        <is>
          <t>Samuel KAKEZ</t>
        </is>
      </c>
      <c r="M32" s="48" t="n">
        <v>46211</v>
      </c>
      <c r="N32" s="21" t="inlineStr">
        <is>
          <t>Réussi</t>
        </is>
      </c>
      <c r="O32" s="17" t="inlineStr">
        <is>
          <t>Conforme au résultat attendu.</t>
        </is>
      </c>
      <c r="P32" s="17" t="str"/>
      <c r="Q32" s="17" t="str"/>
      <c r="R32" s="17" t="str"/>
    </row>
    <row r="33" ht="74" customHeight="1">
      <c r="A33" s="20" t="inlineStr">
        <is>
          <t>TC-029</t>
        </is>
      </c>
      <c r="B33" s="17" t="inlineStr">
        <is>
          <t>Panier</t>
        </is>
      </c>
      <c r="C33" s="17" t="inlineStr">
        <is>
          <t>Modification</t>
        </is>
      </c>
      <c r="D33" s="17" t="inlineStr">
        <is>
          <t>Quantité et suppression mettent à jour le total.</t>
        </is>
      </c>
      <c r="E33" s="17" t="inlineStr">
        <is>
          <t>Fonctionnel</t>
        </is>
      </c>
      <c r="F33" s="21" t="inlineStr">
        <is>
          <t>Haute</t>
        </is>
      </c>
      <c r="G33" s="17" t="inlineStr">
        <is>
          <t>Panier non vide</t>
        </is>
      </c>
      <c r="H33" s="17" t="inlineStr">
        <is>
          <t>1. Modifier le nombre d'utilisateurs. 2. Contrôler le total. 3. Supprimer la ligne.</t>
        </is>
      </c>
      <c r="I33" s="17" t="inlineStr">
        <is>
          <t>1 à 5 utilisateurs</t>
        </is>
      </c>
      <c r="J33" s="17" t="inlineStr">
        <is>
          <t>Total recalculé, panier vide après suppression.</t>
        </is>
      </c>
      <c r="K33" s="21" t="inlineStr">
        <is>
          <t>Preview Netlify</t>
        </is>
      </c>
      <c r="L33" s="21" t="inlineStr">
        <is>
          <t>Samuel KAKEZ</t>
        </is>
      </c>
      <c r="M33" s="48" t="n">
        <v>46211</v>
      </c>
      <c r="N33" s="21" t="inlineStr">
        <is>
          <t>Réussi</t>
        </is>
      </c>
      <c r="O33" s="17" t="inlineStr">
        <is>
          <t>Conforme au résultat attendu.</t>
        </is>
      </c>
      <c r="P33" s="17" t="str"/>
      <c r="Q33" s="17" t="str"/>
      <c r="R33" s="17" t="str"/>
    </row>
    <row r="34" ht="74" customHeight="1">
      <c r="A34" s="20" t="inlineStr">
        <is>
          <t>TC-030</t>
        </is>
      </c>
      <c r="B34" s="17" t="inlineStr">
        <is>
          <t>Panier</t>
        </is>
      </c>
      <c r="C34" s="17" t="inlineStr">
        <is>
          <t>Persistance</t>
        </is>
      </c>
      <c r="D34" s="17" t="inlineStr">
        <is>
          <t>Le panier persiste sur le même navigateur et expire selon la politique.</t>
        </is>
      </c>
      <c r="E34" s="17" t="inlineStr">
        <is>
          <t>Intégration</t>
        </is>
      </c>
      <c r="F34" s="21" t="inlineStr">
        <is>
          <t>Moyenne</t>
        </is>
      </c>
      <c r="G34" s="17" t="inlineStr">
        <is>
          <t>Cookies autorisés</t>
        </is>
      </c>
      <c r="H34" s="17" t="inlineStr">
        <is>
          <t>1. Ajouter une ligne. 2. Fermer et rouvrir le site. 3. Contrôler le panier.</t>
        </is>
      </c>
      <c r="I34" s="17" t="inlineStr">
        <is>
          <t>Cookie cyna_cart</t>
        </is>
      </c>
      <c r="J34" s="17" t="inlineStr">
        <is>
          <t>Ligne retrouvée sur le même appareil.</t>
        </is>
      </c>
      <c r="K34" s="21" t="inlineStr">
        <is>
          <t>Preview Netlify</t>
        </is>
      </c>
      <c r="L34" s="21" t="inlineStr">
        <is>
          <t>Samuel KAKEZ</t>
        </is>
      </c>
      <c r="M34" s="48" t="n">
        <v>46211</v>
      </c>
      <c r="N34" s="21" t="inlineStr">
        <is>
          <t>Réussi</t>
        </is>
      </c>
      <c r="O34" s="17" t="inlineStr">
        <is>
          <t>Conforme au résultat attendu.</t>
        </is>
      </c>
      <c r="P34" s="17" t="str"/>
      <c r="Q34" s="17" t="str"/>
      <c r="R34" s="17" t="str"/>
    </row>
    <row r="35" ht="74" customHeight="1">
      <c r="A35" s="20" t="inlineStr">
        <is>
          <t>TC-031</t>
        </is>
      </c>
      <c r="B35" s="17" t="inlineStr">
        <is>
          <t>Checkout</t>
        </is>
      </c>
      <c r="C35" s="17" t="inlineStr">
        <is>
          <t>Revalidation serveur</t>
        </is>
      </c>
      <c r="D35" s="17" t="inlineStr">
        <is>
          <t>Le serveur refuse une ligne inactive ou altérée.</t>
        </is>
      </c>
      <c r="E35" s="17" t="inlineStr">
        <is>
          <t>Sécurité</t>
        </is>
      </c>
      <c r="F35" s="21" t="inlineStr">
        <is>
          <t>Critique</t>
        </is>
      </c>
      <c r="G35" s="17" t="inlineStr">
        <is>
          <t>Panier préparé puis produit désactivé</t>
        </is>
      </c>
      <c r="H35" s="17" t="inlineStr">
        <is>
          <t>1. Désactiver le produit. 2. Lancer le checkout. 3. Observer la réponse.</t>
        </is>
      </c>
      <c r="I35" s="17" t="inlineStr">
        <is>
          <t>Ancienne ligne panier</t>
        </is>
      </c>
      <c r="J35" s="17" t="inlineStr">
        <is>
          <t>Aucune session Stripe créée pour la ligne invalide.</t>
        </is>
      </c>
      <c r="K35" s="21" t="inlineStr">
        <is>
          <t>Preview Netlify</t>
        </is>
      </c>
      <c r="L35" s="21" t="inlineStr">
        <is>
          <t>Samuel KAKEZ</t>
        </is>
      </c>
      <c r="M35" s="48" t="n">
        <v>46212</v>
      </c>
      <c r="N35" s="21" t="inlineStr">
        <is>
          <t>Réussi</t>
        </is>
      </c>
      <c r="O35" s="17" t="inlineStr">
        <is>
          <t>Conforme au résultat attendu.</t>
        </is>
      </c>
      <c r="P35" s="17" t="str"/>
      <c r="Q35" s="17" t="str"/>
      <c r="R35" s="17" t="str"/>
    </row>
    <row r="36" ht="74" customHeight="1">
      <c r="A36" s="20" t="inlineStr">
        <is>
          <t>TC-032</t>
        </is>
      </c>
      <c r="B36" s="17" t="inlineStr">
        <is>
          <t>Checkout</t>
        </is>
      </c>
      <c r="C36" s="17" t="inlineStr">
        <is>
          <t>Promotion absente</t>
        </is>
      </c>
      <c r="D36" s="17" t="inlineStr">
        <is>
          <t>L'absence de promotion automatique ne provoque pas d'accès à null.</t>
        </is>
      </c>
      <c r="E36" s="17" t="inlineStr">
        <is>
          <t>Non-régression</t>
        </is>
      </c>
      <c r="F36" s="21" t="inlineStr">
        <is>
          <t>Critique</t>
        </is>
      </c>
      <c r="G36" s="17" t="inlineStr">
        <is>
          <t>Produit sans promotion</t>
        </is>
      </c>
      <c r="H36" s="17" t="inlineStr">
        <is>
          <t>1. Ajouter le produit. 2. Lancer le checkout. 3. Atteindre Stripe.</t>
        </is>
      </c>
      <c r="I36" s="17" t="inlineStr">
        <is>
          <t>automaticPromotion = null</t>
        </is>
      </c>
      <c r="J36" s="17" t="inlineStr">
        <is>
          <t>Aucune erreur JavaScript, id_promotion enregistré à null.</t>
        </is>
      </c>
      <c r="K36" s="21" t="inlineStr">
        <is>
          <t>Preview Netlify</t>
        </is>
      </c>
      <c r="L36" s="21" t="inlineStr">
        <is>
          <t>Samuel KAKEZ</t>
        </is>
      </c>
      <c r="M36" s="48" t="n">
        <v>46212</v>
      </c>
      <c r="N36" s="21" t="inlineStr">
        <is>
          <t>Réussi</t>
        </is>
      </c>
      <c r="O36" s="17" t="inlineStr">
        <is>
          <t>Conforme au résultat attendu.</t>
        </is>
      </c>
      <c r="P36" s="17" t="str"/>
      <c r="Q36" s="17" t="str"/>
      <c r="R36" s="17" t="str"/>
    </row>
    <row r="37" ht="74" customHeight="1">
      <c r="A37" s="20" t="inlineStr">
        <is>
          <t>TC-033</t>
        </is>
      </c>
      <c r="B37" s="17" t="inlineStr">
        <is>
          <t>Checkout</t>
        </is>
      </c>
      <c r="C37" s="17" t="inlineStr">
        <is>
          <t>Promotion automatique</t>
        </is>
      </c>
      <c r="D37" s="17" t="inlineStr">
        <is>
          <t>Une promotion valide est appliquée à la bonne ligne.</t>
        </is>
      </c>
      <c r="E37" s="17" t="inlineStr">
        <is>
          <t>Intégration</t>
        </is>
      </c>
      <c r="F37" s="21" t="inlineStr">
        <is>
          <t>Haute</t>
        </is>
      </c>
      <c r="G37" s="17" t="inlineStr">
        <is>
          <t>Promotion active et produit cible</t>
        </is>
      </c>
      <c r="H37" s="17" t="inlineStr">
        <is>
          <t>1. Ouvrir la fiche. 2. Ajouter au panier. 3. Comparer UI, session Stripe et ligne de commande.</t>
        </is>
      </c>
      <c r="I37" s="17" t="inlineStr">
        <is>
          <t>Promotion catégorie ou produit</t>
        </is>
      </c>
      <c r="J37" s="17" t="inlineStr">
        <is>
          <t>Même remise et identifiant cohérent.</t>
        </is>
      </c>
      <c r="K37" s="21" t="inlineStr">
        <is>
          <t>Preview Netlify</t>
        </is>
      </c>
      <c r="L37" s="21" t="inlineStr">
        <is>
          <t>Samuel KAKEZ</t>
        </is>
      </c>
      <c r="M37" s="48" t="n">
        <v>46212</v>
      </c>
      <c r="N37" s="21" t="inlineStr">
        <is>
          <t>Réussi</t>
        </is>
      </c>
      <c r="O37" s="17" t="inlineStr">
        <is>
          <t>Conforme au résultat attendu.</t>
        </is>
      </c>
      <c r="P37" s="17" t="str"/>
      <c r="Q37" s="17" t="str"/>
      <c r="R37" s="17" t="str"/>
    </row>
    <row r="38" ht="74" customHeight="1">
      <c r="A38" s="20" t="inlineStr">
        <is>
          <t>TC-034</t>
        </is>
      </c>
      <c r="B38" s="17" t="inlineStr">
        <is>
          <t>Checkout</t>
        </is>
      </c>
      <c r="C38" s="17" t="inlineStr">
        <is>
          <t>Invité</t>
        </is>
      </c>
      <c r="D38" s="17" t="inlineStr">
        <is>
          <t>Un visiteur peut fournir l'e-mail requis sans créer une session incohérente.</t>
        </is>
      </c>
      <c r="E38" s="17" t="inlineStr">
        <is>
          <t>Fonctionnel</t>
        </is>
      </c>
      <c r="F38" s="21" t="inlineStr">
        <is>
          <t>Haute</t>
        </is>
      </c>
      <c r="G38" s="17" t="inlineStr">
        <is>
          <t>Visiteur déconnecté et panier valide</t>
        </is>
      </c>
      <c r="H38" s="17" t="inlineStr">
        <is>
          <t>1. Lancer le checkout. 2. Saisir un e-mail de test. 3. Continuer.</t>
        </is>
      </c>
      <c r="I38" s="17" t="inlineStr">
        <is>
          <t>guest@example.test</t>
        </is>
      </c>
      <c r="J38" s="17" t="inlineStr">
        <is>
          <t>Session Stripe ouverte et retour contrôlé.</t>
        </is>
      </c>
      <c r="K38" s="21" t="inlineStr">
        <is>
          <t>Preview Netlify</t>
        </is>
      </c>
      <c r="L38" s="21" t="inlineStr">
        <is>
          <t>Samuel KAKEZ</t>
        </is>
      </c>
      <c r="M38" s="48" t="n">
        <v>46212</v>
      </c>
      <c r="N38" s="21" t="inlineStr">
        <is>
          <t>Réussi</t>
        </is>
      </c>
      <c r="O38" s="17" t="inlineStr">
        <is>
          <t>Conforme au résultat attendu.</t>
        </is>
      </c>
      <c r="P38" s="17" t="str"/>
      <c r="Q38" s="17" t="str"/>
      <c r="R38" s="17" t="str"/>
    </row>
    <row r="39" ht="74" customHeight="1">
      <c r="A39" s="20" t="inlineStr">
        <is>
          <t>TC-035</t>
        </is>
      </c>
      <c r="B39" s="17" t="inlineStr">
        <is>
          <t>Stripe</t>
        </is>
      </c>
      <c r="C39" s="17" t="inlineStr">
        <is>
          <t>Paiement accepté</t>
        </is>
      </c>
      <c r="D39" s="17" t="inlineStr">
        <is>
          <t>Le webhook finalise commande, lignes, abonnement et facture.</t>
        </is>
      </c>
      <c r="E39" s="17" t="inlineStr">
        <is>
          <t>Intégration</t>
        </is>
      </c>
      <c r="F39" s="21" t="inlineStr">
        <is>
          <t>Critique</t>
        </is>
      </c>
      <c r="G39" s="17" t="inlineStr">
        <is>
          <t>Stripe test et webhook configuré</t>
        </is>
      </c>
      <c r="H39" s="17" t="inlineStr">
        <is>
          <t>1. Payer une session test. 2. Attendre le webhook. 3. Comparer Stripe, Supabase et espace client.</t>
        </is>
      </c>
      <c r="I39" s="17" t="inlineStr">
        <is>
          <t>Carte Stripe de test</t>
        </is>
      </c>
      <c r="J39" s="17" t="inlineStr">
        <is>
          <t>Commande payée, objets liés idempotents.</t>
        </is>
      </c>
      <c r="K39" s="21" t="inlineStr">
        <is>
          <t>Preview Netlify</t>
        </is>
      </c>
      <c r="L39" s="21" t="inlineStr">
        <is>
          <t>Samuel KAKEZ</t>
        </is>
      </c>
      <c r="M39" s="48" t="n">
        <v>46212</v>
      </c>
      <c r="N39" s="21" t="inlineStr">
        <is>
          <t>Réussi</t>
        </is>
      </c>
      <c r="O39" s="17" t="inlineStr">
        <is>
          <t>Conforme au résultat attendu.</t>
        </is>
      </c>
      <c r="P39" s="17" t="str"/>
      <c r="Q39" s="17" t="str"/>
      <c r="R39" s="17" t="str"/>
    </row>
    <row r="40" ht="74" customHeight="1">
      <c r="A40" s="20" t="inlineStr">
        <is>
          <t>TC-036</t>
        </is>
      </c>
      <c r="B40" s="17" t="inlineStr">
        <is>
          <t>Stripe</t>
        </is>
      </c>
      <c r="C40" s="17" t="inlineStr">
        <is>
          <t>Webhook invalide</t>
        </is>
      </c>
      <c r="D40" s="17" t="inlineStr">
        <is>
          <t>Une signature invalide est refusée sans effet de bord.</t>
        </is>
      </c>
      <c r="E40" s="17" t="inlineStr">
        <is>
          <t>Sécurité</t>
        </is>
      </c>
      <c r="F40" s="21" t="inlineStr">
        <is>
          <t>Critique</t>
        </is>
      </c>
      <c r="G40" s="17" t="inlineStr">
        <is>
          <t>Endpoint accessible</t>
        </is>
      </c>
      <c r="H40" s="17" t="inlineStr">
        <is>
          <t>1. Envoyer une charge utile avec mauvaise signature. 2. Contrôler code et base.</t>
        </is>
      </c>
      <c r="I40" s="17" t="inlineStr">
        <is>
          <t>Signature factice</t>
        </is>
      </c>
      <c r="J40" s="17" t="inlineStr">
        <is>
          <t>Code 400, aucune commande ni facture modifiée.</t>
        </is>
      </c>
      <c r="K40" s="21" t="inlineStr">
        <is>
          <t>Preview Netlify</t>
        </is>
      </c>
      <c r="L40" s="21" t="inlineStr">
        <is>
          <t>Samuel KAKEZ</t>
        </is>
      </c>
      <c r="M40" s="48" t="n">
        <v>46212</v>
      </c>
      <c r="N40" s="21" t="inlineStr">
        <is>
          <t>Réussi</t>
        </is>
      </c>
      <c r="O40" s="17" t="inlineStr">
        <is>
          <t>Conforme au résultat attendu.</t>
        </is>
      </c>
      <c r="P40" s="17" t="str"/>
      <c r="Q40" s="17" t="str"/>
      <c r="R40" s="17" t="str"/>
    </row>
    <row r="41" ht="74" customHeight="1">
      <c r="A41" s="20" t="inlineStr">
        <is>
          <t>TC-037</t>
        </is>
      </c>
      <c r="B41" s="17" t="inlineStr">
        <is>
          <t>Stripe</t>
        </is>
      </c>
      <c r="C41" s="17" t="inlineStr">
        <is>
          <t>Idempotence</t>
        </is>
      </c>
      <c r="D41" s="17" t="inlineStr">
        <is>
          <t>Le même événement peut être rejoué sans doublon.</t>
        </is>
      </c>
      <c r="E41" s="17" t="inlineStr">
        <is>
          <t>Intégration</t>
        </is>
      </c>
      <c r="F41" s="21" t="inlineStr">
        <is>
          <t>Critique</t>
        </is>
      </c>
      <c r="G41" s="17" t="inlineStr">
        <is>
          <t>Événement Stripe valide traité</t>
        </is>
      </c>
      <c r="H41" s="17" t="inlineStr">
        <is>
          <t>1. Rejouer l'événement. 2. Compter commandes, lignes, factures et abonnements.</t>
        </is>
      </c>
      <c r="I41" s="17" t="inlineStr">
        <is>
          <t>Même event.id</t>
        </is>
      </c>
      <c r="J41" s="17" t="inlineStr">
        <is>
          <t>Aucun doublon et réponse d'acquittement.</t>
        </is>
      </c>
      <c r="K41" s="21" t="inlineStr">
        <is>
          <t>Stripe test</t>
        </is>
      </c>
      <c r="L41" s="21" t="inlineStr">
        <is>
          <t>Samuel KAKEZ</t>
        </is>
      </c>
      <c r="M41" s="48" t="n">
        <v>46212</v>
      </c>
      <c r="N41" s="21" t="inlineStr">
        <is>
          <t>Réussi</t>
        </is>
      </c>
      <c r="O41" s="17" t="inlineStr">
        <is>
          <t>Conforme au résultat attendu.</t>
        </is>
      </c>
      <c r="P41" s="17" t="str"/>
      <c r="Q41" s="17" t="str"/>
      <c r="R41" s="17" t="str"/>
    </row>
    <row r="42" ht="74" customHeight="1">
      <c r="A42" s="20" t="inlineStr">
        <is>
          <t>TC-038</t>
        </is>
      </c>
      <c r="B42" s="17" t="inlineStr">
        <is>
          <t>Espace client</t>
        </is>
      </c>
      <c r="C42" s="17" t="inlineStr">
        <is>
          <t>Isolation des données</t>
        </is>
      </c>
      <c r="D42" s="17" t="inlineStr">
        <is>
          <t>Un client ne voit que ses objets.</t>
        </is>
      </c>
      <c r="E42" s="17" t="inlineStr">
        <is>
          <t>Sécurité</t>
        </is>
      </c>
      <c r="F42" s="21" t="inlineStr">
        <is>
          <t>Critique</t>
        </is>
      </c>
      <c r="G42" s="17" t="inlineStr">
        <is>
          <t>Deux comptes clients avec données distinctes</t>
        </is>
      </c>
      <c r="H42" s="17" t="inlineStr">
        <is>
          <t>1. Se connecter en client A. 2. Tester listes et URL détail du client B.</t>
        </is>
      </c>
      <c r="I42" s="17" t="inlineStr">
        <is>
          <t>Deux jeux d'identifiants</t>
        </is>
      </c>
      <c r="J42" s="17" t="inlineStr">
        <is>
          <t>Données B absentes ou accès refusé.</t>
        </is>
      </c>
      <c r="K42" s="21" t="inlineStr">
        <is>
          <t>Preview Netlify</t>
        </is>
      </c>
      <c r="L42" s="21" t="inlineStr">
        <is>
          <t>Samuel KAKEZ</t>
        </is>
      </c>
      <c r="M42" s="48" t="n">
        <v>46212</v>
      </c>
      <c r="N42" s="21" t="inlineStr">
        <is>
          <t>Réussi</t>
        </is>
      </c>
      <c r="O42" s="17" t="inlineStr">
        <is>
          <t>Conforme au résultat attendu.</t>
        </is>
      </c>
      <c r="P42" s="17" t="str"/>
      <c r="Q42" s="17" t="str"/>
      <c r="R42" s="17" t="str"/>
    </row>
    <row r="43" ht="74" customHeight="1">
      <c r="A43" s="20" t="inlineStr">
        <is>
          <t>TC-039</t>
        </is>
      </c>
      <c r="B43" s="17" t="inlineStr">
        <is>
          <t>Espace client</t>
        </is>
      </c>
      <c r="C43" s="17" t="inlineStr">
        <is>
          <t>Profil</t>
        </is>
      </c>
      <c r="D43" s="17" t="inlineStr">
        <is>
          <t>Le nom et l'e-mail suivent les validations et confirmations.</t>
        </is>
      </c>
      <c r="E43" s="17" t="inlineStr">
        <is>
          <t>Fonctionnel</t>
        </is>
      </c>
      <c r="F43" s="21" t="inlineStr">
        <is>
          <t>Haute</t>
        </is>
      </c>
      <c r="G43" s="17" t="inlineStr">
        <is>
          <t>Client connecté</t>
        </is>
      </c>
      <c r="H43" s="17" t="inlineStr">
        <is>
          <t>1. Modifier le nom. 2. Demander un changement d'e-mail. 3. Suivre le callback.</t>
        </is>
      </c>
      <c r="I43" s="17" t="inlineStr">
        <is>
          <t>E-mail de test</t>
        </is>
      </c>
      <c r="J43" s="17" t="inlineStr">
        <is>
          <t>Profil cohérent et message non dupliqué.</t>
        </is>
      </c>
      <c r="K43" s="21" t="inlineStr">
        <is>
          <t>Preview Netlify</t>
        </is>
      </c>
      <c r="L43" s="21" t="inlineStr">
        <is>
          <t>Samuel KAKEZ</t>
        </is>
      </c>
      <c r="M43" s="48" t="n">
        <v>46212</v>
      </c>
      <c r="N43" s="21" t="inlineStr">
        <is>
          <t>Réussi</t>
        </is>
      </c>
      <c r="O43" s="17" t="inlineStr">
        <is>
          <t>Conforme au résultat attendu.</t>
        </is>
      </c>
      <c r="P43" s="17" t="str"/>
      <c r="Q43" s="17" t="str"/>
      <c r="R43" s="17" t="str"/>
    </row>
    <row r="44" ht="74" customHeight="1">
      <c r="A44" s="20" t="inlineStr">
        <is>
          <t>TC-040</t>
        </is>
      </c>
      <c r="B44" s="17" t="inlineStr">
        <is>
          <t>Espace client</t>
        </is>
      </c>
      <c r="C44" s="17" t="inlineStr">
        <is>
          <t>Adresses</t>
        </is>
      </c>
      <c r="D44" s="17" t="inlineStr">
        <is>
          <t>Création, édition et suppression respectent la propriété.</t>
        </is>
      </c>
      <c r="E44" s="17" t="inlineStr">
        <is>
          <t>Fonctionnel</t>
        </is>
      </c>
      <c r="F44" s="21" t="inlineStr">
        <is>
          <t>Moyenne</t>
        </is>
      </c>
      <c r="G44" s="17" t="inlineStr">
        <is>
          <t>Client connecté</t>
        </is>
      </c>
      <c r="H44" s="17" t="inlineStr">
        <is>
          <t>1. Créer une adresse. 2. Modifier. 3. Supprimer. 4. Tester l'URL d'un autre compte.</t>
        </is>
      </c>
      <c r="I44" s="17" t="inlineStr">
        <is>
          <t>Adresse de test</t>
        </is>
      </c>
      <c r="J44" s="17" t="inlineStr">
        <is>
          <t>CRUD du bon compte, autre compte refusé.</t>
        </is>
      </c>
      <c r="K44" s="21" t="inlineStr">
        <is>
          <t>Preview Netlify</t>
        </is>
      </c>
      <c r="L44" s="21" t="inlineStr">
        <is>
          <t>Samuel KAKEZ</t>
        </is>
      </c>
      <c r="M44" s="48" t="n">
        <v>46212</v>
      </c>
      <c r="N44" s="21" t="inlineStr">
        <is>
          <t>Réussi</t>
        </is>
      </c>
      <c r="O44" s="17" t="inlineStr">
        <is>
          <t>Conforme au résultat attendu.</t>
        </is>
      </c>
      <c r="P44" s="17" t="str"/>
      <c r="Q44" s="17" t="str"/>
      <c r="R44" s="17" t="str"/>
    </row>
    <row r="45" ht="74" customHeight="1">
      <c r="A45" s="20" t="inlineStr">
        <is>
          <t>TC-041</t>
        </is>
      </c>
      <c r="B45" s="17" t="inlineStr">
        <is>
          <t>Espace client</t>
        </is>
      </c>
      <c r="C45" s="17" t="inlineStr">
        <is>
          <t>Facture signée</t>
        </is>
      </c>
      <c r="D45" s="17" t="inlineStr">
        <is>
          <t>Le PDF est accessible par URL signée temporaire.</t>
        </is>
      </c>
      <c r="E45" s="17" t="inlineStr">
        <is>
          <t>Sécurité</t>
        </is>
      </c>
      <c r="F45" s="21" t="inlineStr">
        <is>
          <t>Haute</t>
        </is>
      </c>
      <c r="G45" s="17" t="inlineStr">
        <is>
          <t>Client avec facture</t>
        </is>
      </c>
      <c r="H45" s="17" t="inlineStr">
        <is>
          <t>1. Télécharger. 2. Contrôler le PDF. 3. Tester une URL expirée.</t>
        </is>
      </c>
      <c r="I45" s="17" t="inlineStr">
        <is>
          <t>Facture test</t>
        </is>
      </c>
      <c r="J45" s="17" t="inlineStr">
        <is>
          <t>PDF du bon client, ancienne URL refusée après expiration.</t>
        </is>
      </c>
      <c r="K45" s="21" t="inlineStr">
        <is>
          <t>Preview Netlify</t>
        </is>
      </c>
      <c r="L45" s="21" t="inlineStr">
        <is>
          <t>Samuel KAKEZ</t>
        </is>
      </c>
      <c r="M45" s="48" t="n">
        <v>46213</v>
      </c>
      <c r="N45" s="21" t="inlineStr">
        <is>
          <t>Réussi</t>
        </is>
      </c>
      <c r="O45" s="17" t="inlineStr">
        <is>
          <t>Conforme au résultat attendu.</t>
        </is>
      </c>
      <c r="P45" s="17" t="str"/>
      <c r="Q45" s="17" t="str"/>
      <c r="R45" s="17" t="str"/>
    </row>
    <row r="46" ht="74" customHeight="1">
      <c r="A46" s="20" t="inlineStr">
        <is>
          <t>TC-042</t>
        </is>
      </c>
      <c r="B46" s="17" t="inlineStr">
        <is>
          <t>Abonnements</t>
        </is>
      </c>
      <c r="C46" s="17" t="inlineStr">
        <is>
          <t>Liste et état</t>
        </is>
      </c>
      <c r="D46" s="17" t="inlineStr">
        <is>
          <t>Les abonnements reflètent Stripe et les statuts métier.</t>
        </is>
      </c>
      <c r="E46" s="17" t="inlineStr">
        <is>
          <t>Intégration</t>
        </is>
      </c>
      <c r="F46" s="21" t="inlineStr">
        <is>
          <t>Haute</t>
        </is>
      </c>
      <c r="G46" s="17" t="inlineStr">
        <is>
          <t>Client avec abonnements variés</t>
        </is>
      </c>
      <c r="H46" s="17" t="inlineStr">
        <is>
          <t>1. Comparer espace client, BackOffice et Stripe. 2. Contrôler prochaine échéance.</t>
        </is>
      </c>
      <c r="I46" s="17" t="inlineStr">
        <is>
          <t>Actif, en retard, annulé</t>
        </is>
      </c>
      <c r="J46" s="17" t="inlineStr">
        <is>
          <t>Libellés et dates cohérents.</t>
        </is>
      </c>
      <c r="K46" s="21" t="inlineStr">
        <is>
          <t>Preview Netlify</t>
        </is>
      </c>
      <c r="L46" s="21" t="inlineStr">
        <is>
          <t>Samuel KAKEZ</t>
        </is>
      </c>
      <c r="M46" s="48" t="n">
        <v>46213</v>
      </c>
      <c r="N46" s="21" t="inlineStr">
        <is>
          <t>Réussi</t>
        </is>
      </c>
      <c r="O46" s="17" t="inlineStr">
        <is>
          <t>Conforme au résultat attendu.</t>
        </is>
      </c>
      <c r="P46" s="17" t="str"/>
      <c r="Q46" s="17" t="str"/>
      <c r="R46" s="17" t="str"/>
    </row>
    <row r="47" ht="74" customHeight="1">
      <c r="A47" s="20" t="inlineStr">
        <is>
          <t>TC-043</t>
        </is>
      </c>
      <c r="B47" s="17" t="inlineStr">
        <is>
          <t>Support</t>
        </is>
      </c>
      <c r="C47" s="17" t="inlineStr">
        <is>
          <t>Création ticket</t>
        </is>
      </c>
      <c r="D47" s="17" t="inlineStr">
        <is>
          <t>Un client ouvre un ticket valide sans exposer de secret.</t>
        </is>
      </c>
      <c r="E47" s="17" t="inlineStr">
        <is>
          <t>Fonctionnel</t>
        </is>
      </c>
      <c r="F47" s="21" t="inlineStr">
        <is>
          <t>Haute</t>
        </is>
      </c>
      <c r="G47" s="17" t="inlineStr">
        <is>
          <t>Client connecté</t>
        </is>
      </c>
      <c r="H47" s="17" t="inlineStr">
        <is>
          <t>1. Ouvrir le formulaire. 2. Saisir sujet et description. 3. Valider. 4. Ouvrir la liste.</t>
        </is>
      </c>
      <c r="I47" s="17" t="inlineStr">
        <is>
          <t>Catégorie support</t>
        </is>
      </c>
      <c r="J47" s="17" t="inlineStr">
        <is>
          <t>Ticket créé pour le bon client et visible au BackOffice.</t>
        </is>
      </c>
      <c r="K47" s="21" t="inlineStr">
        <is>
          <t>Preview Netlify</t>
        </is>
      </c>
      <c r="L47" s="21" t="inlineStr">
        <is>
          <t>Samuel KAKEZ</t>
        </is>
      </c>
      <c r="M47" s="48" t="n">
        <v>46213</v>
      </c>
      <c r="N47" s="21" t="inlineStr">
        <is>
          <t>Réussi</t>
        </is>
      </c>
      <c r="O47" s="17" t="inlineStr">
        <is>
          <t>Conforme au résultat attendu.</t>
        </is>
      </c>
      <c r="P47" s="17" t="str"/>
      <c r="Q47" s="17" t="str"/>
      <c r="R47" s="17" t="str"/>
    </row>
    <row r="48" ht="74" customHeight="1">
      <c r="A48" s="20" t="inlineStr">
        <is>
          <t>TC-044</t>
        </is>
      </c>
      <c r="B48" s="17" t="inlineStr">
        <is>
          <t>Support</t>
        </is>
      </c>
      <c r="C48" s="17" t="inlineStr">
        <is>
          <t>Ticket d'un autre client</t>
        </is>
      </c>
      <c r="D48" s="17" t="inlineStr">
        <is>
          <t>La lecture directe d'un ticket étranger est refusée.</t>
        </is>
      </c>
      <c r="E48" s="17" t="inlineStr">
        <is>
          <t>Sécurité</t>
        </is>
      </c>
      <c r="F48" s="21" t="inlineStr">
        <is>
          <t>Critique</t>
        </is>
      </c>
      <c r="G48" s="17" t="inlineStr">
        <is>
          <t>Deux comptes et un ticket du client B</t>
        </is>
      </c>
      <c r="H48" s="17" t="inlineStr">
        <is>
          <t>1. Se connecter en A. 2. Ouvrir l'URL du ticket B.</t>
        </is>
      </c>
      <c r="I48" s="17" t="inlineStr">
        <is>
          <t>ID du ticket B</t>
        </is>
      </c>
      <c r="J48" s="17" t="inlineStr">
        <is>
          <t>404 ou refus sans détail sensible.</t>
        </is>
      </c>
      <c r="K48" s="21" t="inlineStr">
        <is>
          <t>Preview Netlify</t>
        </is>
      </c>
      <c r="L48" s="21" t="inlineStr">
        <is>
          <t>Samuel KAKEZ</t>
        </is>
      </c>
      <c r="M48" s="48" t="n">
        <v>46213</v>
      </c>
      <c r="N48" s="21" t="inlineStr">
        <is>
          <t>Réussi</t>
        </is>
      </c>
      <c r="O48" s="17" t="inlineStr">
        <is>
          <t>Conforme au résultat attendu.</t>
        </is>
      </c>
      <c r="P48" s="17" t="str"/>
      <c r="Q48" s="17" t="str"/>
      <c r="R48" s="17" t="str"/>
    </row>
    <row r="49" ht="74" customHeight="1">
      <c r="A49" s="20" t="inlineStr">
        <is>
          <t>TC-045</t>
        </is>
      </c>
      <c r="B49" s="17" t="inlineStr">
        <is>
          <t>CynAI</t>
        </is>
      </c>
      <c r="C49" s="17" t="inlineStr">
        <is>
          <t>Conversation invité</t>
        </is>
      </c>
      <c r="D49" s="17" t="inlineStr">
        <is>
          <t>Une conversation anonyme reçoit texte et terminaison NDJSON.</t>
        </is>
      </c>
      <c r="E49" s="17" t="inlineStr">
        <is>
          <t>Intégration</t>
        </is>
      </c>
      <c r="F49" s="21" t="inlineStr">
        <is>
          <t>Haute</t>
        </is>
      </c>
      <c r="G49" s="17" t="inlineStr">
        <is>
          <t>Gemini et Supabase disponibles</t>
        </is>
      </c>
      <c r="H49" s="17" t="inlineStr">
        <is>
          <t>1. Ouvrir le widget déconnecté. 2. Poser une question. 3. Observer le flux.</t>
        </is>
      </c>
      <c r="I49" s="17" t="inlineStr">
        <is>
          <t>Question catalogue</t>
        </is>
      </c>
      <c r="J49" s="17" t="inlineStr">
        <is>
          <t>conversation, text puis done, aucun secret dans la réponse.</t>
        </is>
      </c>
      <c r="K49" s="21" t="inlineStr">
        <is>
          <t>Preview Netlify</t>
        </is>
      </c>
      <c r="L49" s="21" t="inlineStr">
        <is>
          <t>Samuel KAKEZ</t>
        </is>
      </c>
      <c r="M49" s="48" t="n">
        <v>46213</v>
      </c>
      <c r="N49" s="21" t="inlineStr">
        <is>
          <t>Réussi</t>
        </is>
      </c>
      <c r="O49" s="17" t="inlineStr">
        <is>
          <t>Conforme au résultat attendu.</t>
        </is>
      </c>
      <c r="P49" s="17" t="str"/>
      <c r="Q49" s="17" t="str"/>
      <c r="R49" s="17" t="str"/>
    </row>
    <row r="50" ht="74" customHeight="1">
      <c r="A50" s="20" t="inlineStr">
        <is>
          <t>TC-046</t>
        </is>
      </c>
      <c r="B50" s="17" t="inlineStr">
        <is>
          <t>CynAI</t>
        </is>
      </c>
      <c r="C50" s="17" t="inlineStr">
        <is>
          <t>Carte produit</t>
        </is>
      </c>
      <c r="D50" s="17" t="inlineStr">
        <is>
          <t>L'outil catalogue peut produire une carte produit structurée.</t>
        </is>
      </c>
      <c r="E50" s="17" t="inlineStr">
        <is>
          <t>Fonctionnel</t>
        </is>
      </c>
      <c r="F50" s="21" t="inlineStr">
        <is>
          <t>Haute</t>
        </is>
      </c>
      <c r="G50" s="17" t="inlineStr">
        <is>
          <t>Produit actif</t>
        </is>
      </c>
      <c r="H50" s="17" t="inlineStr">
        <is>
          <t>1. Demander un produit précis. 2. Ouvrir la carte retournée.</t>
        </is>
      </c>
      <c r="I50" s="17" t="inlineStr">
        <is>
          <t>Recherche SOC</t>
        </is>
      </c>
      <c r="J50" s="17" t="inlineStr">
        <is>
          <t>Carte typée avec lien valide et données publiques.</t>
        </is>
      </c>
      <c r="K50" s="21" t="inlineStr">
        <is>
          <t>Preview Netlify</t>
        </is>
      </c>
      <c r="L50" s="21" t="inlineStr">
        <is>
          <t>Samuel KAKEZ</t>
        </is>
      </c>
      <c r="M50" s="48" t="n">
        <v>46213</v>
      </c>
      <c r="N50" s="21" t="inlineStr">
        <is>
          <t>Réussi</t>
        </is>
      </c>
      <c r="O50" s="17" t="inlineStr">
        <is>
          <t>Conforme au résultat attendu.</t>
        </is>
      </c>
      <c r="P50" s="17" t="str"/>
      <c r="Q50" s="17" t="str"/>
      <c r="R50" s="17" t="str"/>
    </row>
    <row r="51" ht="74" customHeight="1">
      <c r="A51" s="20" t="inlineStr">
        <is>
          <t>TC-047</t>
        </is>
      </c>
      <c r="B51" s="17" t="inlineStr">
        <is>
          <t>CynAI</t>
        </is>
      </c>
      <c r="C51" s="17" t="inlineStr">
        <is>
          <t>Carte catégorie</t>
        </is>
      </c>
      <c r="D51" s="17" t="inlineStr">
        <is>
          <t>L'outil catégorie renvoie une destination localisée.</t>
        </is>
      </c>
      <c r="E51" s="17" t="inlineStr">
        <is>
          <t>Fonctionnel</t>
        </is>
      </c>
      <c r="F51" s="21" t="inlineStr">
        <is>
          <t>Moyenne</t>
        </is>
      </c>
      <c r="G51" s="17" t="inlineStr">
        <is>
          <t>Catégorie active</t>
        </is>
      </c>
      <c r="H51" s="17" t="inlineStr">
        <is>
          <t>1. Demander une famille de services. 2. Ouvrir la carte.</t>
        </is>
      </c>
      <c r="I51" s="17" t="inlineStr">
        <is>
          <t>EDR</t>
        </is>
      </c>
      <c r="J51" s="17" t="inlineStr">
        <is>
          <t>Catégorie correcte et locale conservée.</t>
        </is>
      </c>
      <c r="K51" s="21" t="inlineStr">
        <is>
          <t>Preview Netlify</t>
        </is>
      </c>
      <c r="L51" s="21" t="inlineStr">
        <is>
          <t>Samuel KAKEZ</t>
        </is>
      </c>
      <c r="M51" s="48" t="n">
        <v>46213</v>
      </c>
      <c r="N51" s="21" t="inlineStr">
        <is>
          <t>Réussi</t>
        </is>
      </c>
      <c r="O51" s="17" t="inlineStr">
        <is>
          <t>Conforme au résultat attendu.</t>
        </is>
      </c>
      <c r="P51" s="17" t="str"/>
      <c r="Q51" s="17" t="str"/>
      <c r="R51" s="17" t="str"/>
    </row>
    <row r="52" ht="74" customHeight="1">
      <c r="A52" s="20" t="inlineStr">
        <is>
          <t>TC-048</t>
        </is>
      </c>
      <c r="B52" s="17" t="inlineStr">
        <is>
          <t>CynAI</t>
        </is>
      </c>
      <c r="C52" s="17" t="inlineStr">
        <is>
          <t>Boucle d'outils</t>
        </is>
      </c>
      <c r="D52" s="17" t="inlineStr">
        <is>
          <t>Plusieurs appels d'outils terminent sans boucle infinie.</t>
        </is>
      </c>
      <c r="E52" s="17" t="inlineStr">
        <is>
          <t>Intégration</t>
        </is>
      </c>
      <c r="F52" s="21" t="inlineStr">
        <is>
          <t>Haute</t>
        </is>
      </c>
      <c r="G52" s="17" t="inlineStr">
        <is>
          <t>Gemini disponible</t>
        </is>
      </c>
      <c r="H52" s="17" t="inlineStr">
        <is>
          <t>1. Poser une question nécessitant recherche et support. 2. Chronométrer. 3. Examiner NDJSON.</t>
        </is>
      </c>
      <c r="I52" s="17" t="inlineStr">
        <is>
          <t>Question composite</t>
        </is>
      </c>
      <c r="J52" s="17" t="inlineStr">
        <is>
          <t>Nombre d'appels borné, done émis une fois.</t>
        </is>
      </c>
      <c r="K52" s="21" t="inlineStr">
        <is>
          <t>Preview Netlify</t>
        </is>
      </c>
      <c r="L52" s="21" t="inlineStr">
        <is>
          <t>Samuel KAKEZ</t>
        </is>
      </c>
      <c r="M52" s="48" t="n">
        <v>46213</v>
      </c>
      <c r="N52" s="21" t="inlineStr">
        <is>
          <t>Réussi</t>
        </is>
      </c>
      <c r="O52" s="17" t="inlineStr">
        <is>
          <t>Conforme au résultat attendu.</t>
        </is>
      </c>
      <c r="P52" s="17" t="str"/>
      <c r="Q52" s="17" t="str"/>
      <c r="R52" s="17" t="str"/>
    </row>
    <row r="53" ht="74" customHeight="1">
      <c r="A53" s="20" t="inlineStr">
        <is>
          <t>TC-049</t>
        </is>
      </c>
      <c r="B53" s="17" t="inlineStr">
        <is>
          <t>CynAI</t>
        </is>
      </c>
      <c r="C53" s="17" t="inlineStr">
        <is>
          <t>Escalade ticket</t>
        </is>
      </c>
      <c r="D53" s="17" t="inlineStr">
        <is>
          <t>La carte ticket exige la session et crée un ticket propriétaire.</t>
        </is>
      </c>
      <c r="E53" s="17" t="inlineStr">
        <is>
          <t>Sécurité</t>
        </is>
      </c>
      <c r="F53" s="21" t="inlineStr">
        <is>
          <t>Haute</t>
        </is>
      </c>
      <c r="G53" s="17" t="inlineStr">
        <is>
          <t>Client connecté</t>
        </is>
      </c>
      <c r="H53" s="17" t="inlineStr">
        <is>
          <t>1. Demander une aide humaine. 2. Compléter la carte. 3. Ouvrir le ticket.</t>
        </is>
      </c>
      <c r="I53" s="17" t="inlineStr">
        <is>
          <t>Description sans PII</t>
        </is>
      </c>
      <c r="J53" s="17" t="inlineStr">
        <is>
          <t>Ticket lié au client, visible au support.</t>
        </is>
      </c>
      <c r="K53" s="21" t="inlineStr">
        <is>
          <t>Preview Netlify</t>
        </is>
      </c>
      <c r="L53" s="21" t="inlineStr">
        <is>
          <t>Samuel KAKEZ</t>
        </is>
      </c>
      <c r="M53" s="48" t="n">
        <v>46213</v>
      </c>
      <c r="N53" s="21" t="inlineStr">
        <is>
          <t>Réussi</t>
        </is>
      </c>
      <c r="O53" s="17" t="inlineStr">
        <is>
          <t>Conforme au résultat attendu.</t>
        </is>
      </c>
      <c r="P53" s="17" t="str"/>
      <c r="Q53" s="17" t="str"/>
      <c r="R53" s="17" t="str"/>
    </row>
    <row r="54" ht="74" customHeight="1">
      <c r="A54" s="20" t="inlineStr">
        <is>
          <t>TC-050</t>
        </is>
      </c>
      <c r="B54" s="17" t="inlineStr">
        <is>
          <t>CynAI</t>
        </is>
      </c>
      <c r="C54" s="17" t="inlineStr">
        <is>
          <t>Cookie invité</t>
        </is>
      </c>
      <c r="D54" s="17" t="inlineStr">
        <is>
          <t>L'identifiant invité stocké n'est pas conservé en clair côté serveur.</t>
        </is>
      </c>
      <c r="E54" s="17" t="inlineStr">
        <is>
          <t>Sécurité</t>
        </is>
      </c>
      <c r="F54" s="21" t="inlineStr">
        <is>
          <t>Critique</t>
        </is>
      </c>
      <c r="G54" s="17" t="inlineStr">
        <is>
          <t>Accès DB de test</t>
        </is>
      </c>
      <c r="H54" s="17" t="inlineStr">
        <is>
          <t>1. Démarrer une conversation. 2. Comparer cookie et propriétaire stocké.</t>
        </is>
      </c>
      <c r="I54" s="17" t="inlineStr">
        <is>
          <t>Cookie invité</t>
        </is>
      </c>
      <c r="J54" s="17" t="inlineStr">
        <is>
          <t>Empreinte SHA-256 ou valeur dérivée, pas le cookie brut.</t>
        </is>
      </c>
      <c r="K54" s="21" t="inlineStr">
        <is>
          <t>Supabase local</t>
        </is>
      </c>
      <c r="L54" s="21" t="inlineStr">
        <is>
          <t>Samuel KAKEZ</t>
        </is>
      </c>
      <c r="M54" s="48" t="n">
        <v>46213</v>
      </c>
      <c r="N54" s="21" t="inlineStr">
        <is>
          <t>Réussi</t>
        </is>
      </c>
      <c r="O54" s="17" t="inlineStr">
        <is>
          <t>Conforme au résultat attendu.</t>
        </is>
      </c>
      <c r="P54" s="17" t="str"/>
      <c r="Q54" s="17" t="str"/>
      <c r="R54" s="17" t="str"/>
    </row>
    <row r="55" ht="74" customHeight="1">
      <c r="A55" s="20" t="inlineStr">
        <is>
          <t>TC-051</t>
        </is>
      </c>
      <c r="B55" s="17" t="inlineStr">
        <is>
          <t>CynAI</t>
        </is>
      </c>
      <c r="C55" s="17" t="inlineStr">
        <is>
          <t>Erreur fournisseur</t>
        </is>
      </c>
      <c r="D55" s="17" t="inlineStr">
        <is>
          <t>Une erreur Gemini devient un enregistrement error sans stack ni PII.</t>
        </is>
      </c>
      <c r="E55" s="17" t="inlineStr">
        <is>
          <t>Sécurité</t>
        </is>
      </c>
      <c r="F55" s="21" t="inlineStr">
        <is>
          <t>Haute</t>
        </is>
      </c>
      <c r="G55" s="17" t="inlineStr">
        <is>
          <t>Clé Gemini invalide en environnement isolé</t>
        </is>
      </c>
      <c r="H55" s="17" t="inlineStr">
        <is>
          <t>1. Envoyer une question. 2. Examiner stream, UI et Sentry.</t>
        </is>
      </c>
      <c r="I55" s="17" t="inlineStr">
        <is>
          <t>Clé factice</t>
        </is>
      </c>
      <c r="J55" s="17" t="inlineStr">
        <is>
          <t>Erreur utilisateur générique, événement Sentry filtré.</t>
        </is>
      </c>
      <c r="K55" s="21" t="inlineStr">
        <is>
          <t>Local</t>
        </is>
      </c>
      <c r="L55" s="21" t="inlineStr">
        <is>
          <t>Samuel KAKEZ</t>
        </is>
      </c>
      <c r="M55" s="48" t="n">
        <v>46214</v>
      </c>
      <c r="N55" s="21" t="inlineStr">
        <is>
          <t>Réussi</t>
        </is>
      </c>
      <c r="O55" s="17" t="inlineStr">
        <is>
          <t>Conforme au résultat attendu.</t>
        </is>
      </c>
      <c r="P55" s="17" t="str"/>
      <c r="Q55" s="17" t="str"/>
      <c r="R55" s="17" t="str"/>
    </row>
    <row r="56" ht="74" customHeight="1">
      <c r="A56" s="20" t="inlineStr">
        <is>
          <t>TC-052</t>
        </is>
      </c>
      <c r="B56" s="17" t="inlineStr">
        <is>
          <t>CynAI</t>
        </is>
      </c>
      <c r="C56" s="17" t="inlineStr">
        <is>
          <t>Purge 90 jours</t>
        </is>
      </c>
      <c r="D56" s="17" t="inlineStr">
        <is>
          <t>Les conversations arrivées à échéance sont supprimables selon la politique.</t>
        </is>
      </c>
      <c r="E56" s="17" t="inlineStr">
        <is>
          <t>Exploitation</t>
        </is>
      </c>
      <c r="F56" s="21" t="inlineStr">
        <is>
          <t>Moyenne</t>
        </is>
      </c>
      <c r="G56" s="17" t="inlineStr">
        <is>
          <t>Données de test antidatées</t>
        </is>
      </c>
      <c r="H56" s="17" t="inlineStr">
        <is>
          <t>1. Créer des conversations avant et après le seuil. 2. Lancer la purge. 3. Compter.</t>
        </is>
      </c>
      <c r="I56" s="17" t="inlineStr">
        <is>
          <t>89 et 91 jours</t>
        </is>
      </c>
      <c r="J56" s="17" t="inlineStr">
        <is>
          <t>Seules les données au-delà du seuil sont supprimées.</t>
        </is>
      </c>
      <c r="K56" s="21" t="inlineStr">
        <is>
          <t>Supabase local</t>
        </is>
      </c>
      <c r="L56" s="21" t="inlineStr">
        <is>
          <t>Samuel KAKEZ</t>
        </is>
      </c>
      <c r="M56" s="48" t="n">
        <v>46214</v>
      </c>
      <c r="N56" s="21" t="inlineStr">
        <is>
          <t>Réussi</t>
        </is>
      </c>
      <c r="O56" s="17" t="inlineStr">
        <is>
          <t>Conforme au résultat attendu.</t>
        </is>
      </c>
      <c r="P56" s="17" t="str"/>
      <c r="Q56" s="17" t="str"/>
      <c r="R56" s="17" t="str"/>
    </row>
    <row r="57" ht="74" customHeight="1">
      <c r="A57" s="20" t="inlineStr">
        <is>
          <t>TC-053</t>
        </is>
      </c>
      <c r="B57" s="17" t="inlineStr">
        <is>
          <t>BackOffice</t>
        </is>
      </c>
      <c r="C57" s="17" t="inlineStr">
        <is>
          <t>Rôle non admin</t>
        </is>
      </c>
      <c r="D57" s="17" t="inlineStr">
        <is>
          <t>Un client AAL2 ne peut pas ouvrir l'administration.</t>
        </is>
      </c>
      <c r="E57" s="17" t="inlineStr">
        <is>
          <t>Sécurité</t>
        </is>
      </c>
      <c r="F57" s="21" t="inlineStr">
        <is>
          <t>Critique</t>
        </is>
      </c>
      <c r="G57" s="17" t="inlineStr">
        <is>
          <t>Compte client avec MFA</t>
        </is>
      </c>
      <c r="H57" s="17" t="inlineStr">
        <is>
          <t>1. Se connecter et valider MFA. 2. Ouvrir /fr/admin.</t>
        </is>
      </c>
      <c r="I57" s="17" t="inlineStr">
        <is>
          <t>Rôle customer</t>
        </is>
      </c>
      <c r="J57" s="17" t="inlineStr">
        <is>
          <t>Refus ou redirection, aucune donnée admin chargée.</t>
        </is>
      </c>
      <c r="K57" s="21" t="inlineStr">
        <is>
          <t>Preview Netlify</t>
        </is>
      </c>
      <c r="L57" s="21" t="inlineStr">
        <is>
          <t>Samuel KAKEZ</t>
        </is>
      </c>
      <c r="M57" s="48" t="n">
        <v>46214</v>
      </c>
      <c r="N57" s="21" t="inlineStr">
        <is>
          <t>Réussi</t>
        </is>
      </c>
      <c r="O57" s="17" t="inlineStr">
        <is>
          <t>Conforme au résultat attendu.</t>
        </is>
      </c>
      <c r="P57" s="17" t="str"/>
      <c r="Q57" s="17" t="str"/>
      <c r="R57" s="17" t="str"/>
    </row>
    <row r="58" ht="74" customHeight="1">
      <c r="A58" s="20" t="inlineStr">
        <is>
          <t>TC-054</t>
        </is>
      </c>
      <c r="B58" s="17" t="inlineStr">
        <is>
          <t>BackOffice</t>
        </is>
      </c>
      <c r="C58" s="17" t="inlineStr">
        <is>
          <t>Création produit</t>
        </is>
      </c>
      <c r="D58" s="17" t="inlineStr">
        <is>
          <t>Un admin crée un produit avec traduction et tarifs valides.</t>
        </is>
      </c>
      <c r="E58" s="17" t="inlineStr">
        <is>
          <t>Fonctionnel</t>
        </is>
      </c>
      <c r="F58" s="21" t="inlineStr">
        <is>
          <t>Haute</t>
        </is>
      </c>
      <c r="G58" s="17" t="inlineStr">
        <is>
          <t>Admin AAL2 et catégorie existante</t>
        </is>
      </c>
      <c r="H58" s="17" t="inlineStr">
        <is>
          <t>1. Créer. 2. Ajouter FR, EN, tarif et image. 3. Publier. 4. Ouvrir la fiche.</t>
        </is>
      </c>
      <c r="I58" s="17" t="inlineStr">
        <is>
          <t>Produit test unique</t>
        </is>
      </c>
      <c r="J58" s="17" t="inlineStr">
        <is>
          <t>Produit public cohérent dans les deux locales.</t>
        </is>
      </c>
      <c r="K58" s="21" t="inlineStr">
        <is>
          <t>Preview Netlify</t>
        </is>
      </c>
      <c r="L58" s="21" t="inlineStr">
        <is>
          <t>Samuel KAKEZ</t>
        </is>
      </c>
      <c r="M58" s="48" t="n">
        <v>46214</v>
      </c>
      <c r="N58" s="21" t="inlineStr">
        <is>
          <t>Réussi</t>
        </is>
      </c>
      <c r="O58" s="17" t="inlineStr">
        <is>
          <t>Conforme au résultat attendu.</t>
        </is>
      </c>
      <c r="P58" s="17" t="str"/>
      <c r="Q58" s="17" t="str"/>
      <c r="R58" s="17" t="str"/>
    </row>
    <row r="59" ht="74" customHeight="1">
      <c r="A59" s="20" t="inlineStr">
        <is>
          <t>TC-055</t>
        </is>
      </c>
      <c r="B59" s="17" t="inlineStr">
        <is>
          <t>BackOffice</t>
        </is>
      </c>
      <c r="C59" s="17" t="inlineStr">
        <is>
          <t>Ordre du formulaire produit</t>
        </is>
      </c>
      <c r="D59" s="17" t="inlineStr">
        <is>
          <t>La traduction anglaise précède les caractéristiques techniques.</t>
        </is>
      </c>
      <c r="E59" s="17" t="inlineStr">
        <is>
          <t>Non-régression</t>
        </is>
      </c>
      <c r="F59" s="21" t="inlineStr">
        <is>
          <t>Moyenne</t>
        </is>
      </c>
      <c r="G59" s="17" t="inlineStr">
        <is>
          <t>Admin AAL2</t>
        </is>
      </c>
      <c r="H59" s="17" t="inlineStr">
        <is>
          <t>1. Ouvrir l'édition d'un produit. 2. Examiner l'ordre et la croix de traduction.</t>
        </is>
      </c>
      <c r="I59" s="17" t="inlineStr">
        <is>
          <t>Produit traduit</t>
        </is>
      </c>
      <c r="J59" s="17" t="inlineStr">
        <is>
          <t>Conteneur EN puis caractéristiques, croix en haut à droite sans label.</t>
        </is>
      </c>
      <c r="K59" s="21" t="inlineStr">
        <is>
          <t>Preview Netlify</t>
        </is>
      </c>
      <c r="L59" s="21" t="inlineStr">
        <is>
          <t>Samuel KAKEZ</t>
        </is>
      </c>
      <c r="M59" s="48" t="n">
        <v>46214</v>
      </c>
      <c r="N59" s="21" t="inlineStr">
        <is>
          <t>Réussi</t>
        </is>
      </c>
      <c r="O59" s="17" t="inlineStr">
        <is>
          <t>Conforme au résultat attendu.</t>
        </is>
      </c>
      <c r="P59" s="17" t="str"/>
      <c r="Q59" s="17" t="str"/>
      <c r="R59" s="17" t="str"/>
    </row>
    <row r="60" ht="74" customHeight="1">
      <c r="A60" s="20" t="inlineStr">
        <is>
          <t>TC-056</t>
        </is>
      </c>
      <c r="B60" s="17" t="inlineStr">
        <is>
          <t>BackOffice</t>
        </is>
      </c>
      <c r="C60" s="17" t="inlineStr">
        <is>
          <t>Caractéristiques</t>
        </is>
      </c>
      <c r="D60" s="17" t="inlineStr">
        <is>
          <t>Les caractéristiques et traductions sont créées, ordonnées et supprimées correctement.</t>
        </is>
      </c>
      <c r="E60" s="17" t="inlineStr">
        <is>
          <t>Fonctionnel</t>
        </is>
      </c>
      <c r="F60" s="21" t="inlineStr">
        <is>
          <t>Moyenne</t>
        </is>
      </c>
      <c r="G60" s="17" t="inlineStr">
        <is>
          <t>Admin AAL2</t>
        </is>
      </c>
      <c r="H60" s="17" t="inlineStr">
        <is>
          <t>1. Ajouter deux caractéristiques. 2. Traduire. 3. Réordonner. 4. Supprimer une entrée.</t>
        </is>
      </c>
      <c r="I60" s="17" t="inlineStr">
        <is>
          <t>Clés techniques</t>
        </is>
      </c>
      <c r="J60" s="17" t="inlineStr">
        <is>
          <t>Ordre public cohérent et aucune relation orpheline.</t>
        </is>
      </c>
      <c r="K60" s="21" t="inlineStr">
        <is>
          <t>Preview Netlify</t>
        </is>
      </c>
      <c r="L60" s="21" t="inlineStr">
        <is>
          <t>Samuel KAKEZ</t>
        </is>
      </c>
      <c r="M60" s="48" t="n">
        <v>46214</v>
      </c>
      <c r="N60" s="21" t="inlineStr">
        <is>
          <t>Réussi</t>
        </is>
      </c>
      <c r="O60" s="17" t="inlineStr">
        <is>
          <t>Conforme au résultat attendu.</t>
        </is>
      </c>
      <c r="P60" s="17" t="str"/>
      <c r="Q60" s="17" t="str"/>
      <c r="R60" s="17" t="str"/>
    </row>
    <row r="61" ht="74" customHeight="1">
      <c r="A61" s="20" t="inlineStr">
        <is>
          <t>TC-057</t>
        </is>
      </c>
      <c r="B61" s="17" t="inlineStr">
        <is>
          <t>BackOffice</t>
        </is>
      </c>
      <c r="C61" s="17" t="inlineStr">
        <is>
          <t>Catégorie</t>
        </is>
      </c>
      <c r="D61" s="17" t="inlineStr">
        <is>
          <t>Le CRUD catégorie respecte traduction, image et dépendances.</t>
        </is>
      </c>
      <c r="E61" s="17" t="inlineStr">
        <is>
          <t>Fonctionnel</t>
        </is>
      </c>
      <c r="F61" s="21" t="inlineStr">
        <is>
          <t>Haute</t>
        </is>
      </c>
      <c r="G61" s="17" t="inlineStr">
        <is>
          <t>Admin AAL2</t>
        </is>
      </c>
      <c r="H61" s="17" t="inlineStr">
        <is>
          <t>1. Créer. 2. Traduire. 3. Modifier l'image. 4. Tester suppression avec produit lié.</t>
        </is>
      </c>
      <c r="I61" s="17" t="inlineStr">
        <is>
          <t>Catégorie test</t>
        </is>
      </c>
      <c r="J61" s="17" t="inlineStr">
        <is>
          <t>Affichage public correct et suppression bloquée si référencée.</t>
        </is>
      </c>
      <c r="K61" s="21" t="inlineStr">
        <is>
          <t>Preview Netlify</t>
        </is>
      </c>
      <c r="L61" s="21" t="inlineStr">
        <is>
          <t>Samuel KAKEZ</t>
        </is>
      </c>
      <c r="M61" s="48" t="n">
        <v>46214</v>
      </c>
      <c r="N61" s="21" t="inlineStr">
        <is>
          <t>Réussi</t>
        </is>
      </c>
      <c r="O61" s="17" t="inlineStr">
        <is>
          <t>Conforme au résultat attendu.</t>
        </is>
      </c>
      <c r="P61" s="17" t="str"/>
      <c r="Q61" s="17" t="str"/>
      <c r="R61" s="17" t="str"/>
    </row>
    <row r="62" ht="74" customHeight="1">
      <c r="A62" s="20" t="inlineStr">
        <is>
          <t>TC-058</t>
        </is>
      </c>
      <c r="B62" s="17" t="inlineStr">
        <is>
          <t>BackOffice</t>
        </is>
      </c>
      <c r="C62" s="17" t="inlineStr">
        <is>
          <t>Promotion</t>
        </is>
      </c>
      <c r="D62" s="17" t="inlineStr">
        <is>
          <t>Une promotion respecte dates, priorité et cible.</t>
        </is>
      </c>
      <c r="E62" s="17" t="inlineStr">
        <is>
          <t>Fonctionnel</t>
        </is>
      </c>
      <c r="F62" s="21" t="inlineStr">
        <is>
          <t>Haute</t>
        </is>
      </c>
      <c r="G62" s="17" t="inlineStr">
        <is>
          <t>Admin AAL2 et produits de test</t>
        </is>
      </c>
      <c r="H62" s="17" t="inlineStr">
        <is>
          <t>1. Créer une promotion. 2. Lier produit ou catégorie. 3. Tester avant, pendant et après la période.</t>
        </is>
      </c>
      <c r="I62" s="17" t="inlineStr">
        <is>
          <t>Remise de test</t>
        </is>
      </c>
      <c r="J62" s="17" t="inlineStr">
        <is>
          <t>Application uniquement dans la fenêtre et le périmètre.</t>
        </is>
      </c>
      <c r="K62" s="21" t="inlineStr">
        <is>
          <t>Preview Netlify</t>
        </is>
      </c>
      <c r="L62" s="21" t="inlineStr">
        <is>
          <t>Samuel KAKEZ</t>
        </is>
      </c>
      <c r="M62" s="48" t="n">
        <v>46214</v>
      </c>
      <c r="N62" s="21" t="inlineStr">
        <is>
          <t>Réussi</t>
        </is>
      </c>
      <c r="O62" s="17" t="inlineStr">
        <is>
          <t>Conforme au résultat attendu.</t>
        </is>
      </c>
      <c r="P62" s="17" t="str"/>
      <c r="Q62" s="17" t="str"/>
      <c r="R62" s="17" t="str"/>
    </row>
    <row r="63" ht="74" customHeight="1">
      <c r="A63" s="20" t="inlineStr">
        <is>
          <t>TC-059</t>
        </is>
      </c>
      <c r="B63" s="17" t="inlineStr">
        <is>
          <t>BackOffice</t>
        </is>
      </c>
      <c r="C63" s="17" t="inlineStr">
        <is>
          <t>Contenu accueil</t>
        </is>
      </c>
      <c r="D63" s="17" t="inlineStr">
        <is>
          <t>Carrousel, textes et CTA sont publiés sans URL locale.</t>
        </is>
      </c>
      <c r="E63" s="17" t="inlineStr">
        <is>
          <t>Fonctionnel</t>
        </is>
      </c>
      <c r="F63" s="21" t="inlineStr">
        <is>
          <t>Moyenne</t>
        </is>
      </c>
      <c r="G63" s="17" t="inlineStr">
        <is>
          <t>Admin AAL2</t>
        </is>
      </c>
      <c r="H63" s="17" t="inlineStr">
        <is>
          <t>1. Modifier un contenu de test. 2. Enregistrer. 3. Contrôler FR, EN et mobile.</t>
        </is>
      </c>
      <c r="I63" s="17" t="inlineStr">
        <is>
          <t>CTA vers route gérée</t>
        </is>
      </c>
      <c r="J63" s="17" t="inlineStr">
        <is>
          <t>Contenu publié et lien sur le domaine attendu.</t>
        </is>
      </c>
      <c r="K63" s="21" t="inlineStr">
        <is>
          <t>Preview Netlify</t>
        </is>
      </c>
      <c r="L63" s="21" t="inlineStr">
        <is>
          <t>Samuel KAKEZ</t>
        </is>
      </c>
      <c r="M63" s="48" t="n">
        <v>46214</v>
      </c>
      <c r="N63" s="21" t="inlineStr">
        <is>
          <t>Réussi</t>
        </is>
      </c>
      <c r="O63" s="17" t="inlineStr">
        <is>
          <t>Conforme au résultat attendu.</t>
        </is>
      </c>
      <c r="P63" s="17" t="str"/>
      <c r="Q63" s="17" t="str"/>
      <c r="R63" s="17" t="str"/>
    </row>
    <row r="64" ht="74" customHeight="1">
      <c r="A64" s="20" t="inlineStr">
        <is>
          <t>TC-060</t>
        </is>
      </c>
      <c r="B64" s="17" t="inlineStr">
        <is>
          <t>BackOffice</t>
        </is>
      </c>
      <c r="C64" s="17" t="inlineStr">
        <is>
          <t>Support admin</t>
        </is>
      </c>
      <c r="D64" s="17" t="inlineStr">
        <is>
          <t>Un admin autorisé consulte les tickets et leur contexte sans fuite croisée.</t>
        </is>
      </c>
      <c r="E64" s="17" t="inlineStr">
        <is>
          <t>Sécurité</t>
        </is>
      </c>
      <c r="F64" s="21" t="inlineStr">
        <is>
          <t>Haute</t>
        </is>
      </c>
      <c r="G64" s="17" t="inlineStr">
        <is>
          <t>Admin AAL2 et tickets</t>
        </is>
      </c>
      <c r="H64" s="17" t="inlineStr">
        <is>
          <t>1. Ouvrir la liste. 2. Filtrer. 3. Ouvrir un ticket. 4. Mettre à jour l'état.</t>
        </is>
      </c>
      <c r="I64" s="17" t="inlineStr">
        <is>
          <t>Tickets de plusieurs clients</t>
        </is>
      </c>
      <c r="J64" s="17" t="inlineStr">
        <is>
          <t>Données nécessaires seulement, audit cohérent.</t>
        </is>
      </c>
      <c r="K64" s="21" t="inlineStr">
        <is>
          <t>Preview Netlify</t>
        </is>
      </c>
      <c r="L64" s="21" t="inlineStr">
        <is>
          <t>Samuel KAKEZ</t>
        </is>
      </c>
      <c r="M64" s="48" t="n">
        <v>46214</v>
      </c>
      <c r="N64" s="21" t="inlineStr">
        <is>
          <t>Réussi</t>
        </is>
      </c>
      <c r="O64" s="17" t="inlineStr">
        <is>
          <t>Conforme au résultat attendu.</t>
        </is>
      </c>
      <c r="P64" s="17" t="str"/>
      <c r="Q64" s="17" t="str"/>
      <c r="R64" s="17" t="str"/>
    </row>
    <row r="65" ht="74" customHeight="1">
      <c r="A65" s="20" t="inlineStr">
        <is>
          <t>TC-061</t>
        </is>
      </c>
      <c r="B65" s="17" t="inlineStr">
        <is>
          <t>BackOffice</t>
        </is>
      </c>
      <c r="C65" s="17" t="inlineStr">
        <is>
          <t>Réinitialisation MFA</t>
        </is>
      </c>
      <c r="D65" s="17" t="inlineStr">
        <is>
          <t>La réinitialisation MFA exige second admin, ticket et audit.</t>
        </is>
      </c>
      <c r="E65" s="17" t="inlineStr">
        <is>
          <t>Sécurité</t>
        </is>
      </c>
      <c r="F65" s="21" t="inlineStr">
        <is>
          <t>Critique</t>
        </is>
      </c>
      <c r="G65" s="17" t="inlineStr">
        <is>
          <t>Deux admins et ticket d'accès valide</t>
        </is>
      </c>
      <c r="H65" s="17" t="inlineStr">
        <is>
          <t>1. Demander la réinitialisation. 2. Tester sans ticket. 3. Refaire avec ticket et second admin. 4. Lire l'audit.</t>
        </is>
      </c>
      <c r="I65" s="17" t="inlineStr">
        <is>
          <t>Compte admin cible</t>
        </is>
      </c>
      <c r="J65" s="17" t="inlineStr">
        <is>
          <t>Refus incomplet, succès contrôlé et trace mfa_reset_audit.</t>
        </is>
      </c>
      <c r="K65" s="21" t="inlineStr">
        <is>
          <t>Preview Netlify</t>
        </is>
      </c>
      <c r="L65" s="21" t="inlineStr">
        <is>
          <t>Samuel KAKEZ</t>
        </is>
      </c>
      <c r="M65" s="48" t="n">
        <v>46215</v>
      </c>
      <c r="N65" s="21" t="inlineStr">
        <is>
          <t>Réussi</t>
        </is>
      </c>
      <c r="O65" s="17" t="inlineStr">
        <is>
          <t>Conforme au résultat attendu.</t>
        </is>
      </c>
      <c r="P65" s="17" t="str"/>
      <c r="Q65" s="17" t="str"/>
      <c r="R65" s="17" t="str"/>
    </row>
    <row r="66" ht="74" customHeight="1">
      <c r="A66" s="20" t="inlineStr">
        <is>
          <t>TC-062</t>
        </is>
      </c>
      <c r="B66" s="17" t="inlineStr">
        <is>
          <t>Sales</t>
        </is>
      </c>
      <c r="C66" s="17" t="inlineStr">
        <is>
          <t>Période 7d</t>
        </is>
      </c>
      <c r="D66" s="17" t="inlineStr">
        <is>
          <t>Le chiffre d'affaires contient sept points journaliers, y compris les jours à zéro.</t>
        </is>
      </c>
      <c r="E66" s="17" t="inlineStr">
        <is>
          <t>Fonctionnel</t>
        </is>
      </c>
      <c r="F66" s="21" t="inlineStr">
        <is>
          <t>Haute</t>
        </is>
      </c>
      <c r="G66" s="17" t="inlineStr">
        <is>
          <t>Admin AAL2 et jeu de ventes</t>
        </is>
      </c>
      <c r="H66" s="17" t="inlineStr">
        <is>
          <t>1. Choisir 7 jours. 2. Compter les points. 3. Comparer aux commandes payées.</t>
        </is>
      </c>
      <c r="I66" s="17" t="inlineStr">
        <is>
          <t>Ventes sur jours discontinus</t>
        </is>
      </c>
      <c r="J66" s="17" t="inlineStr">
        <is>
          <t>Sept points calendaires et total exact.</t>
        </is>
      </c>
      <c r="K66" s="21" t="inlineStr">
        <is>
          <t>Preview Netlify</t>
        </is>
      </c>
      <c r="L66" s="21" t="inlineStr">
        <is>
          <t>Samuel KAKEZ</t>
        </is>
      </c>
      <c r="M66" s="48" t="n">
        <v>46215</v>
      </c>
      <c r="N66" s="21" t="inlineStr">
        <is>
          <t>Réussi</t>
        </is>
      </c>
      <c r="O66" s="17" t="inlineStr">
        <is>
          <t>Conforme au résultat attendu.</t>
        </is>
      </c>
      <c r="P66" s="17" t="str"/>
      <c r="Q66" s="17" t="str"/>
      <c r="R66" s="17" t="str"/>
    </row>
    <row r="67" ht="74" customHeight="1">
      <c r="A67" s="20" t="inlineStr">
        <is>
          <t>TC-063</t>
        </is>
      </c>
      <c r="B67" s="17" t="inlineStr">
        <is>
          <t>Sales</t>
        </is>
      </c>
      <c r="C67" s="17" t="inlineStr">
        <is>
          <t>Période 5w</t>
        </is>
      </c>
      <c r="D67" s="17" t="inlineStr">
        <is>
          <t>La période contient cinq semaines Europe/Paris du lundi au dimanche.</t>
        </is>
      </c>
      <c r="E67" s="17" t="inlineStr">
        <is>
          <t>Fonctionnel</t>
        </is>
      </c>
      <c r="F67" s="21" t="inlineStr">
        <is>
          <t>Haute</t>
        </is>
      </c>
      <c r="G67" s="17" t="inlineStr">
        <is>
          <t>Admin AAL2 et jeu couvrant un DST</t>
        </is>
      </c>
      <c r="H67" s="17" t="inlineStr">
        <is>
          <t>1. Choisir 5 semaines. 2. Compter les points. 3. Comparer les bornes.</t>
        </is>
      </c>
      <c r="I67" s="17" t="inlineStr">
        <is>
          <t>Passage heure été/hiver</t>
        </is>
      </c>
      <c r="J67" s="17" t="inlineStr">
        <is>
          <t>Cinq semaines sans décalage ni vente perdue.</t>
        </is>
      </c>
      <c r="K67" s="21" t="inlineStr">
        <is>
          <t>Preview Netlify</t>
        </is>
      </c>
      <c r="L67" s="21" t="inlineStr">
        <is>
          <t>Samuel KAKEZ</t>
        </is>
      </c>
      <c r="M67" s="48" t="n">
        <v>46215</v>
      </c>
      <c r="N67" s="21" t="inlineStr">
        <is>
          <t>Réussi</t>
        </is>
      </c>
      <c r="O67" s="17" t="inlineStr">
        <is>
          <t>Conforme au résultat attendu.</t>
        </is>
      </c>
      <c r="P67" s="17" t="str"/>
      <c r="Q67" s="17" t="str"/>
      <c r="R67" s="17" t="str"/>
    </row>
    <row r="68" ht="74" customHeight="1">
      <c r="A68" s="20" t="inlineStr">
        <is>
          <t>TC-064</t>
        </is>
      </c>
      <c r="B68" s="17" t="inlineStr">
        <is>
          <t>Sales</t>
        </is>
      </c>
      <c r="C68" s="17" t="inlineStr">
        <is>
          <t>Plage personnalisée</t>
        </is>
      </c>
      <c r="D68" s="17" t="inlineStr">
        <is>
          <t>Les dates valides choisissent une granularité adaptée.</t>
        </is>
      </c>
      <c r="E68" s="17" t="inlineStr">
        <is>
          <t>Fonctionnel</t>
        </is>
      </c>
      <c r="F68" s="21" t="inlineStr">
        <is>
          <t>Haute</t>
        </is>
      </c>
      <c r="G68" s="17" t="inlineStr">
        <is>
          <t>Admin AAL2</t>
        </is>
      </c>
      <c r="H68" s="17" t="inlineStr">
        <is>
          <t>1. Tester 10, 60 et 300 jours. 2. Contrôler titres et axes.</t>
        </is>
      </c>
      <c r="I68" s="17" t="inlineStr">
        <is>
          <t>Plages passées</t>
        </is>
      </c>
      <c r="J68" s="17" t="inlineStr">
        <is>
          <t>Jour, semaine ou mois cohérent, maximum 366 jours.</t>
        </is>
      </c>
      <c r="K68" s="21" t="inlineStr">
        <is>
          <t>Preview Netlify</t>
        </is>
      </c>
      <c r="L68" s="21" t="inlineStr">
        <is>
          <t>Samuel KAKEZ</t>
        </is>
      </c>
      <c r="M68" s="48" t="n">
        <v>46215</v>
      </c>
      <c r="N68" s="21" t="inlineStr">
        <is>
          <t>Réussi</t>
        </is>
      </c>
      <c r="O68" s="17" t="inlineStr">
        <is>
          <t>Conforme au résultat attendu.</t>
        </is>
      </c>
      <c r="P68" s="17" t="str"/>
      <c r="Q68" s="17" t="str"/>
      <c r="R68" s="17" t="str"/>
    </row>
    <row r="69" ht="74" customHeight="1">
      <c r="A69" s="20" t="inlineStr">
        <is>
          <t>TC-065</t>
        </is>
      </c>
      <c r="B69" s="17" t="inlineStr">
        <is>
          <t>Sales</t>
        </is>
      </c>
      <c r="C69" s="17" t="inlineStr">
        <is>
          <t>Gardes de dates</t>
        </is>
      </c>
      <c r="D69" s="17" t="inlineStr">
        <is>
          <t>Format, ordre, futur et durée excessive ont des erreurs distinctes.</t>
        </is>
      </c>
      <c r="E69" s="17" t="inlineStr">
        <is>
          <t>Sécurité</t>
        </is>
      </c>
      <c r="F69" s="21" t="inlineStr">
        <is>
          <t>Haute</t>
        </is>
      </c>
      <c r="G69" s="17" t="inlineStr">
        <is>
          <t>Admin AAL2</t>
        </is>
      </c>
      <c r="H69" s="17" t="inlineStr">
        <is>
          <t>1. Tester date impossible. 2. Inverser les bornes. 3. Utiliser demain. 4. Dépasser 366 jours.</t>
        </is>
      </c>
      <c r="I69" s="17" t="inlineStr">
        <is>
          <t>Cas invalides</t>
        </is>
      </c>
      <c r="J69" s="17" t="inlineStr">
        <is>
          <t>Erreur traduite spécifique, aucune requête lourde.</t>
        </is>
      </c>
      <c r="K69" s="21" t="inlineStr">
        <is>
          <t>Preview Netlify</t>
        </is>
      </c>
      <c r="L69" s="21" t="inlineStr">
        <is>
          <t>Samuel KAKEZ</t>
        </is>
      </c>
      <c r="M69" s="48" t="n">
        <v>46215</v>
      </c>
      <c r="N69" s="21" t="inlineStr">
        <is>
          <t>Réussi</t>
        </is>
      </c>
      <c r="O69" s="17" t="inlineStr">
        <is>
          <t>Conforme au résultat attendu.</t>
        </is>
      </c>
      <c r="P69" s="17" t="str"/>
      <c r="Q69" s="17" t="str"/>
      <c r="R69" s="17" t="str"/>
    </row>
    <row r="70" ht="74" customHeight="1">
      <c r="A70" s="20" t="inlineStr">
        <is>
          <t>TC-066</t>
        </is>
      </c>
      <c r="B70" s="17" t="inlineStr">
        <is>
          <t>Sales</t>
        </is>
      </c>
      <c r="C70" s="17" t="inlineStr">
        <is>
          <t>Paniers par catégorie</t>
        </is>
      </c>
      <c r="D70" s="17" t="inlineStr">
        <is>
          <t>Le panier moyen utilise sous-totaux et commandes distinctes.</t>
        </is>
      </c>
      <c r="E70" s="17" t="inlineStr">
        <is>
          <t>Fonctionnel</t>
        </is>
      </c>
      <c r="F70" s="21" t="inlineStr">
        <is>
          <t>Critique</t>
        </is>
      </c>
      <c r="G70" s="17" t="inlineStr">
        <is>
          <t>Jeu avec plusieurs lignes par catégorie</t>
        </is>
      </c>
      <c r="H70" s="17" t="inlineStr">
        <is>
          <t>1. Calculer manuellement. 2. Lire les segments et infobulles. 3. Comparer.</t>
        </is>
      </c>
      <c r="I70" s="17" t="inlineStr">
        <is>
          <t>Commandes multi-lignes</t>
        </is>
      </c>
      <c r="J70" s="17" t="inlineStr">
        <is>
          <t>Montant, CA et nombre de commandes exacts à deux décimales.</t>
        </is>
      </c>
      <c r="K70" s="21" t="inlineStr">
        <is>
          <t>Preview Netlify</t>
        </is>
      </c>
      <c r="L70" s="21" t="inlineStr">
        <is>
          <t>Samuel KAKEZ</t>
        </is>
      </c>
      <c r="M70" s="48" t="n">
        <v>46215</v>
      </c>
      <c r="N70" s="21" t="inlineStr">
        <is>
          <t>Réussi</t>
        </is>
      </c>
      <c r="O70" s="17" t="inlineStr">
        <is>
          <t>Conforme au résultat attendu.</t>
        </is>
      </c>
      <c r="P70" s="17" t="str"/>
      <c r="Q70" s="17" t="str"/>
      <c r="R70" s="17" t="str"/>
    </row>
    <row r="71" ht="74" customHeight="1">
      <c r="A71" s="20" t="inlineStr">
        <is>
          <t>TC-067</t>
        </is>
      </c>
      <c r="B71" s="17" t="inlineStr">
        <is>
          <t>Sales</t>
        </is>
      </c>
      <c r="C71" s="17" t="inlineStr">
        <is>
          <t>Couleurs</t>
        </is>
      </c>
      <c r="D71" s="17" t="inlineStr">
        <is>
          <t>Dix couleurs violettes programmées restent distinctes et stables.</t>
        </is>
      </c>
      <c r="E71" s="17" t="inlineStr">
        <is>
          <t>Non-régression</t>
        </is>
      </c>
      <c r="F71" s="21" t="inlineStr">
        <is>
          <t>Moyenne</t>
        </is>
      </c>
      <c r="G71" s="17" t="inlineStr">
        <is>
          <t>Au moins cinq catégories</t>
        </is>
      </c>
      <c r="H71" s="17" t="inlineStr">
        <is>
          <t>1. Ouvrir histogramme et camembert. 2. Recharger. 3. Changer la période.</t>
        </is>
      </c>
      <c r="I71" s="17" t="inlineStr">
        <is>
          <t>Catégories variées</t>
        </is>
      </c>
      <c r="J71" s="17" t="inlineStr">
        <is>
          <t>Même identifiant, même couleur ; couleurs visuellement distinctes.</t>
        </is>
      </c>
      <c r="K71" s="21" t="inlineStr">
        <is>
          <t>Preview Netlify</t>
        </is>
      </c>
      <c r="L71" s="21" t="inlineStr">
        <is>
          <t>Samuel KAKEZ</t>
        </is>
      </c>
      <c r="M71" s="48" t="n">
        <v>46215</v>
      </c>
      <c r="N71" s="21" t="inlineStr">
        <is>
          <t>Réussi</t>
        </is>
      </c>
      <c r="O71" s="17" t="inlineStr">
        <is>
          <t>Conforme au résultat attendu.</t>
        </is>
      </c>
      <c r="P71" s="17" t="str"/>
      <c r="Q71" s="17" t="str"/>
      <c r="R71" s="17" t="str"/>
    </row>
    <row r="72" ht="74" customHeight="1">
      <c r="A72" s="20" t="inlineStr">
        <is>
          <t>TC-068</t>
        </is>
      </c>
      <c r="B72" s="17" t="inlineStr">
        <is>
          <t>Sales</t>
        </is>
      </c>
      <c r="C72" s="17" t="inlineStr">
        <is>
          <t>Groupe Autres</t>
        </is>
      </c>
      <c r="D72" s="17" t="inlineStr">
        <is>
          <t>Les catégories secondaires couvrent le CA sans double compter les commandes.</t>
        </is>
      </c>
      <c r="E72" s="17" t="inlineStr">
        <is>
          <t>Fonctionnel</t>
        </is>
      </c>
      <c r="F72" s="21" t="inlineStr">
        <is>
          <t>Haute</t>
        </is>
      </c>
      <c r="G72" s="17" t="inlineStr">
        <is>
          <t>Plus de sept catégories</t>
        </is>
      </c>
      <c r="H72" s="17" t="inlineStr">
        <is>
          <t>1. Créer une commande avec plusieurs catégories secondaires. 2. Comparer le groupe Autres.</t>
        </is>
      </c>
      <c r="I72" s="17" t="inlineStr">
        <is>
          <t>Jeu de ventes dédié</t>
        </is>
      </c>
      <c r="J72" s="17" t="inlineStr">
        <is>
          <t>CA exhaustif et dénominateur distinct par commande.</t>
        </is>
      </c>
      <c r="K72" s="21" t="inlineStr">
        <is>
          <t>Preview Netlify</t>
        </is>
      </c>
      <c r="L72" s="21" t="inlineStr">
        <is>
          <t>Samuel KAKEZ</t>
        </is>
      </c>
      <c r="M72" s="48" t="n">
        <v>46215</v>
      </c>
      <c r="N72" s="21" t="inlineStr">
        <is>
          <t>Réussi</t>
        </is>
      </c>
      <c r="O72" s="17" t="inlineStr">
        <is>
          <t>Conforme au résultat attendu.</t>
        </is>
      </c>
      <c r="P72" s="17" t="str"/>
      <c r="Q72" s="17" t="str"/>
      <c r="R72" s="17" t="str"/>
    </row>
    <row r="73" ht="74" customHeight="1">
      <c r="A73" s="20" t="inlineStr">
        <is>
          <t>TC-069</t>
        </is>
      </c>
      <c r="B73" s="17" t="inlineStr">
        <is>
          <t>Sales</t>
        </is>
      </c>
      <c r="C73" s="17" t="inlineStr">
        <is>
          <t>Filtres par graphique</t>
        </is>
      </c>
      <c r="D73" s="17" t="inlineStr">
        <is>
          <t>Un filtre local change uniquement le graphique concerné.</t>
        </is>
      </c>
      <c r="E73" s="17" t="inlineStr">
        <is>
          <t>Fonctionnel</t>
        </is>
      </c>
      <c r="F73" s="21" t="inlineStr">
        <is>
          <t>Moyenne</t>
        </is>
      </c>
      <c r="G73" s="17" t="inlineStr">
        <is>
          <t>Admin AAL2</t>
        </is>
      </c>
      <c r="H73" s="17" t="inlineStr">
        <is>
          <t>1. Choisir une période générale. 2. Modifier le filtre d'un graphique. 3. Observer les autres.</t>
        </is>
      </c>
      <c r="I73" s="17" t="inlineStr">
        <is>
          <t>7d puis filtre local</t>
        </is>
      </c>
      <c r="J73" s="17" t="inlineStr">
        <is>
          <t>Graphique ciblé mis à jour, autres inchangés.</t>
        </is>
      </c>
      <c r="K73" s="21" t="inlineStr">
        <is>
          <t>Preview Netlify</t>
        </is>
      </c>
      <c r="L73" s="21" t="inlineStr">
        <is>
          <t>Samuel KAKEZ</t>
        </is>
      </c>
      <c r="M73" s="48" t="n">
        <v>46215</v>
      </c>
      <c r="N73" s="21" t="inlineStr">
        <is>
          <t>Réussi</t>
        </is>
      </c>
      <c r="O73" s="17" t="inlineStr">
        <is>
          <t>Conforme au résultat attendu.</t>
        </is>
      </c>
      <c r="P73" s="17" t="str"/>
      <c r="Q73" s="17" t="str"/>
      <c r="R73" s="17" t="str"/>
    </row>
    <row r="74" ht="74" customHeight="1">
      <c r="A74" s="20" t="inlineStr">
        <is>
          <t>TC-070</t>
        </is>
      </c>
      <c r="B74" s="17" t="inlineStr">
        <is>
          <t>PDF</t>
        </is>
      </c>
      <c r="C74" s="17" t="inlineStr">
        <is>
          <t>Rapport 7d</t>
        </is>
      </c>
      <c r="D74" s="17" t="inlineStr">
        <is>
          <t>Le PDF réutilise les agrégations et contient les trois graphiques.</t>
        </is>
      </c>
      <c r="E74" s="17" t="inlineStr">
        <is>
          <t>Fonctionnel</t>
        </is>
      </c>
      <c r="F74" s="21" t="inlineStr">
        <is>
          <t>Critique</t>
        </is>
      </c>
      <c r="G74" s="17" t="inlineStr">
        <is>
          <t>Admin AAL2 et rapport disponible</t>
        </is>
      </c>
      <c r="H74" s="17" t="inlineStr">
        <is>
          <t>1. Générer en 7d. 2. Comparer KPI et graphiques avec la page. 3. Extraire le texte.</t>
        </is>
      </c>
      <c r="I74" s="17" t="inlineStr">
        <is>
          <t>Même jeu de données</t>
        </is>
      </c>
      <c r="J74" s="17" t="inlineStr">
        <is>
          <t>Première page paysage, montants identiques, aucune valeur NaN ou Infinity.</t>
        </is>
      </c>
      <c r="K74" s="21" t="inlineStr">
        <is>
          <t>Preview Netlify</t>
        </is>
      </c>
      <c r="L74" s="21" t="inlineStr">
        <is>
          <t>Samuel KAKEZ</t>
        </is>
      </c>
      <c r="M74" s="48" t="n">
        <v>46215</v>
      </c>
      <c r="N74" s="21" t="inlineStr">
        <is>
          <t>Réussi</t>
        </is>
      </c>
      <c r="O74" s="17" t="inlineStr">
        <is>
          <t>Conforme au résultat attendu.</t>
        </is>
      </c>
      <c r="P74" s="17" t="str"/>
      <c r="Q74" s="17" t="str"/>
      <c r="R74" s="17" t="str"/>
    </row>
    <row r="75" ht="74" customHeight="1">
      <c r="A75" s="20" t="inlineStr">
        <is>
          <t>TC-071</t>
        </is>
      </c>
      <c r="B75" s="17" t="inlineStr">
        <is>
          <t>PDF</t>
        </is>
      </c>
      <c r="C75" s="17" t="inlineStr">
        <is>
          <t>Rapport 5w et custom</t>
        </is>
      </c>
      <c r="D75" s="17" t="inlineStr">
        <is>
          <t>Les deux autres présets produisent des pages lisibles et paginées.</t>
        </is>
      </c>
      <c r="E75" s="17" t="inlineStr">
        <is>
          <t>Non-régression</t>
        </is>
      </c>
      <c r="F75" s="21" t="inlineStr">
        <is>
          <t>Haute</t>
        </is>
      </c>
      <c r="G75" s="17" t="inlineStr">
        <is>
          <t>Admin AAL2</t>
        </is>
      </c>
      <c r="H75" s="17" t="inlineStr">
        <is>
          <t>1. Générer 5w. 2. Générer custom. 3. Rendre chaque page en PNG.</t>
        </is>
      </c>
      <c r="I75" s="17" t="inlineStr">
        <is>
          <t>5 semaines et 90 jours</t>
        </is>
      </c>
      <c r="J75" s="17" t="inlineStr">
        <is>
          <t>Graphiques, catégories, montants et pagination lisibles.</t>
        </is>
      </c>
      <c r="K75" s="21" t="inlineStr">
        <is>
          <t>Preview Netlify</t>
        </is>
      </c>
      <c r="L75" s="21" t="inlineStr">
        <is>
          <t>Samuel KAKEZ</t>
        </is>
      </c>
      <c r="M75" s="48" t="n">
        <v>46216</v>
      </c>
      <c r="N75" s="21" t="inlineStr">
        <is>
          <t>Réussi</t>
        </is>
      </c>
      <c r="O75" s="17" t="inlineStr">
        <is>
          <t>Conforme au résultat attendu.</t>
        </is>
      </c>
      <c r="P75" s="17" t="str"/>
      <c r="Q75" s="17" t="str"/>
      <c r="R75" s="17" t="str"/>
    </row>
    <row r="76" ht="74" customHeight="1">
      <c r="A76" s="20" t="inlineStr">
        <is>
          <t>TC-072</t>
        </is>
      </c>
      <c r="B76" s="17" t="inlineStr">
        <is>
          <t>CI/CD</t>
        </is>
      </c>
      <c r="C76" s="17" t="inlineStr">
        <is>
          <t>Workflow quality</t>
        </is>
      </c>
      <c r="D76" s="17" t="inlineStr">
        <is>
          <t>La CI s'exécute sur PR et push vers dev et prod.</t>
        </is>
      </c>
      <c r="E76" s="17" t="inlineStr">
        <is>
          <t>Exploitation</t>
        </is>
      </c>
      <c r="F76" s="21" t="inlineStr">
        <is>
          <t>Critique</t>
        </is>
      </c>
      <c r="G76" s="17" t="inlineStr">
        <is>
          <t>Branche avec changement sans secret</t>
        </is>
      </c>
      <c r="H76" s="17" t="inlineStr">
        <is>
          <t>1. Ouvrir un PR vers dev. 2. Observer CI / quality. 3. Contrôler les étapes.</t>
        </is>
      </c>
      <c r="I76" s="17" t="inlineStr">
        <is>
          <t>Commit de test</t>
        </is>
      </c>
      <c r="J76" s="17" t="inlineStr">
        <is>
          <t>npm ci, lint, tests, audit high et build verts.</t>
        </is>
      </c>
      <c r="K76" s="21" t="inlineStr">
        <is>
          <t>Preview Netlify</t>
        </is>
      </c>
      <c r="L76" s="21" t="inlineStr">
        <is>
          <t>Samuel KAKEZ</t>
        </is>
      </c>
      <c r="M76" s="48" t="n">
        <v>46216</v>
      </c>
      <c r="N76" s="21" t="inlineStr">
        <is>
          <t>Réussi</t>
        </is>
      </c>
      <c r="O76" s="17" t="inlineStr">
        <is>
          <t>Conforme au résultat attendu.</t>
        </is>
      </c>
      <c r="P76" s="17" t="str"/>
      <c r="Q76" s="17" t="str"/>
      <c r="R76" s="17" t="str"/>
    </row>
    <row r="77" ht="74" customHeight="1">
      <c r="A77" s="20" t="inlineStr">
        <is>
          <t>TC-073</t>
        </is>
      </c>
      <c r="B77" s="17" t="inlineStr">
        <is>
          <t>CI/CD</t>
        </is>
      </c>
      <c r="C77" s="17" t="inlineStr">
        <is>
          <t>Annulation obsolète</t>
        </is>
      </c>
      <c r="D77" s="17" t="inlineStr">
        <is>
          <t>Un nouveau commit annule l'exécution précédente de la même branche.</t>
        </is>
      </c>
      <c r="E77" s="17" t="inlineStr">
        <is>
          <t>Exploitation</t>
        </is>
      </c>
      <c r="F77" s="21" t="inlineStr">
        <is>
          <t>Moyenne</t>
        </is>
      </c>
      <c r="G77" s="17" t="inlineStr">
        <is>
          <t>PR avec CI en cours</t>
        </is>
      </c>
      <c r="H77" s="17" t="inlineStr">
        <is>
          <t>1. Pousser un commit. 2. Pousser rapidement un second. 3. Observer les runs.</t>
        </is>
      </c>
      <c r="I77" s="17" t="inlineStr">
        <is>
          <t>Deux commits</t>
        </is>
      </c>
      <c r="J77" s="17" t="inlineStr">
        <is>
          <t>Ancien run annulé et dernier commit contrôlé.</t>
        </is>
      </c>
      <c r="K77" s="21" t="inlineStr">
        <is>
          <t>Preview Netlify</t>
        </is>
      </c>
      <c r="L77" s="21" t="inlineStr">
        <is>
          <t>Samuel KAKEZ</t>
        </is>
      </c>
      <c r="M77" s="48" t="n">
        <v>46216</v>
      </c>
      <c r="N77" s="21" t="inlineStr">
        <is>
          <t>Réussi</t>
        </is>
      </c>
      <c r="O77" s="17" t="inlineStr">
        <is>
          <t>Conforme au résultat attendu.</t>
        </is>
      </c>
      <c r="P77" s="17" t="str"/>
      <c r="Q77" s="17" t="str"/>
      <c r="R77" s="17" t="str"/>
    </row>
    <row r="78" ht="74" customHeight="1">
      <c r="A78" s="20" t="inlineStr">
        <is>
          <t>TC-074</t>
        </is>
      </c>
      <c r="B78" s="17" t="inlineStr">
        <is>
          <t>CI/CD</t>
        </is>
      </c>
      <c r="C78" s="17" t="inlineStr">
        <is>
          <t>Audit production</t>
        </is>
      </c>
      <c r="D78" s="17" t="inlineStr">
        <is>
          <t>Une vulnérabilité haute de production bloque la CI.</t>
        </is>
      </c>
      <c r="E78" s="17" t="inlineStr">
        <is>
          <t>Sécurité</t>
        </is>
      </c>
      <c r="F78" s="21" t="inlineStr">
        <is>
          <t>Critique</t>
        </is>
      </c>
      <c r="G78" s="17" t="inlineStr">
        <is>
          <t>Test isolé réversible</t>
        </is>
      </c>
      <c r="H78" s="17" t="inlineStr">
        <is>
          <t>1. Utiliser un lockfile de test vulnérable. 2. Lancer l'audit. 3. Restaurer.</t>
        </is>
      </c>
      <c r="I78" s="17" t="inlineStr">
        <is>
          <t>Dépendance de laboratoire</t>
        </is>
      </c>
      <c r="J78" s="17" t="inlineStr">
        <is>
          <t>Code non nul et job rouge.</t>
        </is>
      </c>
      <c r="K78" s="21" t="inlineStr">
        <is>
          <t>Local</t>
        </is>
      </c>
      <c r="L78" s="21" t="inlineStr">
        <is>
          <t>Samuel KAKEZ</t>
        </is>
      </c>
      <c r="M78" s="48" t="n">
        <v>46216</v>
      </c>
      <c r="N78" s="21" t="inlineStr">
        <is>
          <t>Réussi</t>
        </is>
      </c>
      <c r="O78" s="17" t="inlineStr">
        <is>
          <t>Conforme au résultat attendu.</t>
        </is>
      </c>
      <c r="P78" s="17" t="str"/>
      <c r="Q78" s="17" t="str"/>
      <c r="R78" s="17" t="str"/>
    </row>
    <row r="79" ht="74" customHeight="1">
      <c r="A79" s="20" t="inlineStr">
        <is>
          <t>TC-075</t>
        </is>
      </c>
      <c r="B79" s="17" t="inlineStr">
        <is>
          <t>Netlify</t>
        </is>
      </c>
      <c r="C79" s="17" t="inlineStr">
        <is>
          <t>Deploy Preview</t>
        </is>
      </c>
      <c r="D79" s="17" t="inlineStr">
        <is>
          <t>Le PR produit une preview Next.js fonctionnelle.</t>
        </is>
      </c>
      <c r="E79" s="17" t="inlineStr">
        <is>
          <t>Exploitation</t>
        </is>
      </c>
      <c r="F79" s="21" t="inlineStr">
        <is>
          <t>Critique</t>
        </is>
      </c>
      <c r="G79" s="17" t="inlineStr">
        <is>
          <t>Site Netlify relié au dépôt</t>
        </is>
      </c>
      <c r="H79" s="17" t="inlineStr">
        <is>
          <t>1. Ouvrir le PR. 2. Attendre le déploiement. 3. Exécuter smoke:routes.</t>
        </is>
      </c>
      <c r="I79" s="17" t="inlineStr">
        <is>
          <t>Node 22 et plugin Next.js</t>
        </is>
      </c>
      <c r="J79" s="17" t="inlineStr">
        <is>
          <t>Preview accessible, SSR et route handlers fonctionnels.</t>
        </is>
      </c>
      <c r="K79" s="21" t="inlineStr">
        <is>
          <t>Preview Netlify</t>
        </is>
      </c>
      <c r="L79" s="21" t="inlineStr">
        <is>
          <t>Samuel KAKEZ</t>
        </is>
      </c>
      <c r="M79" s="48" t="n">
        <v>46216</v>
      </c>
      <c r="N79" s="21" t="inlineStr">
        <is>
          <t>Réussi</t>
        </is>
      </c>
      <c r="O79" s="17" t="inlineStr">
        <is>
          <t>Conforme au résultat attendu.</t>
        </is>
      </c>
      <c r="P79" s="17" t="str"/>
      <c r="Q79" s="17" t="str"/>
      <c r="R79" s="17" t="str"/>
    </row>
    <row r="80" ht="74" customHeight="1">
      <c r="A80" s="20" t="inlineStr">
        <is>
          <t>TC-076</t>
        </is>
      </c>
      <c r="B80" s="17" t="inlineStr">
        <is>
          <t>Netlify</t>
        </is>
      </c>
      <c r="C80" s="17" t="inlineStr">
        <is>
          <t>Variables par contexte</t>
        </is>
      </c>
      <c r="D80" s="17" t="inlineStr">
        <is>
          <t>Les previews n'utilisent pas de secrets live.</t>
        </is>
      </c>
      <c r="E80" s="17" t="inlineStr">
        <is>
          <t>Sécurité</t>
        </is>
      </c>
      <c r="F80" s="21" t="inlineStr">
        <is>
          <t>Critique</t>
        </is>
      </c>
      <c r="G80" s="17" t="inlineStr">
        <is>
          <t>Accès configuration Netlify</t>
        </is>
      </c>
      <c r="H80" s="17" t="inlineStr">
        <is>
          <t>1. Comparer variables Preview et Production. 2. Contrôler les logs de build.</t>
        </is>
      </c>
      <c r="I80" s="17" t="inlineStr">
        <is>
          <t>Noms de variables, jamais les valeurs</t>
        </is>
      </c>
      <c r="J80" s="17" t="inlineStr">
        <is>
          <t>Secrets live limités à Production et absents des logs.</t>
        </is>
      </c>
      <c r="K80" s="21" t="inlineStr">
        <is>
          <t>Production Netlify</t>
        </is>
      </c>
      <c r="L80" s="21" t="inlineStr">
        <is>
          <t>Samuel KAKEZ</t>
        </is>
      </c>
      <c r="M80" s="48" t="n">
        <v>46216</v>
      </c>
      <c r="N80" s="21" t="inlineStr">
        <is>
          <t>Réussi</t>
        </is>
      </c>
      <c r="O80" s="17" t="inlineStr">
        <is>
          <t>Conforme au résultat attendu.</t>
        </is>
      </c>
      <c r="P80" s="17" t="str"/>
      <c r="Q80" s="17" t="str"/>
      <c r="R80" s="17" t="str"/>
    </row>
    <row r="81" ht="74" customHeight="1">
      <c r="A81" s="20" t="inlineStr">
        <is>
          <t>TC-077</t>
        </is>
      </c>
      <c r="B81" s="17" t="inlineStr">
        <is>
          <t>Netlify</t>
        </is>
      </c>
      <c r="C81" s="17" t="inlineStr">
        <is>
          <t>Production</t>
        </is>
      </c>
      <c r="D81" s="17" t="inlineStr">
        <is>
          <t>La fusion contrôlée vers prod déploie le commit validé.</t>
        </is>
      </c>
      <c r="E81" s="17" t="inlineStr">
        <is>
          <t>Exploitation</t>
        </is>
      </c>
      <c r="F81" s="21" t="inlineStr">
        <is>
          <t>Critique</t>
        </is>
      </c>
      <c r="G81" s="17" t="inlineStr">
        <is>
          <t>CI et preview vertes, approbation humaine</t>
        </is>
      </c>
      <c r="H81" s="17" t="inlineStr">
        <is>
          <t>1. Fusionner dev vers prod. 2. Comparer le SHA. 3. Relancer le smoke test.</t>
        </is>
      </c>
      <c r="I81" s="17" t="inlineStr">
        <is>
          <t>Commit de release</t>
        </is>
      </c>
      <c r="J81" s="17" t="inlineStr">
        <is>
          <t>Production sur le bon SHA, parcours critiques verts.</t>
        </is>
      </c>
      <c r="K81" s="21" t="inlineStr">
        <is>
          <t>Production Netlify</t>
        </is>
      </c>
      <c r="L81" s="21" t="inlineStr">
        <is>
          <t>Samuel KAKEZ</t>
        </is>
      </c>
      <c r="M81" s="48" t="n">
        <v>46216</v>
      </c>
      <c r="N81" s="21" t="inlineStr">
        <is>
          <t>Réussi</t>
        </is>
      </c>
      <c r="O81" s="17" t="inlineStr">
        <is>
          <t>Conforme au résultat attendu.</t>
        </is>
      </c>
      <c r="P81" s="17" t="str"/>
      <c r="Q81" s="17" t="str"/>
      <c r="R81" s="17" t="str"/>
    </row>
    <row r="82" ht="74" customHeight="1">
      <c r="A82" s="20" t="inlineStr">
        <is>
          <t>TC-078</t>
        </is>
      </c>
      <c r="B82" s="17" t="inlineStr">
        <is>
          <t>Sentry</t>
        </is>
      </c>
      <c r="C82" s="17" t="inlineStr">
        <is>
          <t>Erreur contrôlée</t>
        </is>
      </c>
      <c r="D82" s="17" t="inlineStr">
        <is>
          <t>Une erreur de production remonte avec une source map lisible.</t>
        </is>
      </c>
      <c r="E82" s="17" t="inlineStr">
        <is>
          <t>Exploitation</t>
        </is>
      </c>
      <c r="F82" s="21" t="inlineStr">
        <is>
          <t>Haute</t>
        </is>
      </c>
      <c r="G82" s="17" t="inlineStr">
        <is>
          <t>DSN, org, projet et token configurés en Production</t>
        </is>
      </c>
      <c r="H82" s="17" t="inlineStr">
        <is>
          <t>1. Déclencher une erreur de test sans PII. 2. Ouvrir l'événement. 3. Lire la stack.</t>
        </is>
      </c>
      <c r="I82" s="17" t="inlineStr">
        <is>
          <t>Erreur sentinelle</t>
        </is>
      </c>
      <c r="J82" s="17" t="inlineStr">
        <is>
          <t>Un seul événement, stack source-mappée et alerte e-mail.</t>
        </is>
      </c>
      <c r="K82" s="21" t="inlineStr">
        <is>
          <t>Production Netlify</t>
        </is>
      </c>
      <c r="L82" s="21" t="inlineStr">
        <is>
          <t>Samuel KAKEZ</t>
        </is>
      </c>
      <c r="M82" s="48" t="n">
        <v>46216</v>
      </c>
      <c r="N82" s="21" t="inlineStr">
        <is>
          <t>Réussi</t>
        </is>
      </c>
      <c r="O82" s="17" t="inlineStr">
        <is>
          <t>Conforme au résultat attendu.</t>
        </is>
      </c>
      <c r="P82" s="17" t="str"/>
      <c r="Q82" s="17" t="str"/>
      <c r="R82" s="17" t="str"/>
    </row>
    <row r="83" ht="74" customHeight="1">
      <c r="A83" s="20" t="inlineStr">
        <is>
          <t>TC-079</t>
        </is>
      </c>
      <c r="B83" s="17" t="inlineStr">
        <is>
          <t>Sentry</t>
        </is>
      </c>
      <c r="C83" s="17" t="inlineStr">
        <is>
          <t>Filtrage PII</t>
        </is>
      </c>
      <c r="D83" s="17" t="inlineStr">
        <is>
          <t>Corps, cookies, authorization et utilisateur sont supprimés.</t>
        </is>
      </c>
      <c r="E83" s="17" t="inlineStr">
        <is>
          <t>Sécurité</t>
        </is>
      </c>
      <c r="F83" s="21" t="inlineStr">
        <is>
          <t>Critique</t>
        </is>
      </c>
      <c r="G83" s="17" t="inlineStr">
        <is>
          <t>Environnement isolé avec DSN de test</t>
        </is>
      </c>
      <c r="H83" s="17" t="inlineStr">
        <is>
          <t>1. Capturer un événement factice contenant des marqueurs. 2. Examiner l'événement reçu.</t>
        </is>
      </c>
      <c r="I83" s="17" t="inlineStr">
        <is>
          <t>Valeurs sentinelles non réelles</t>
        </is>
      </c>
      <c r="J83" s="17" t="inlineStr">
        <is>
          <t>Aucun marqueur sensible présent ; tags techniques conservés.</t>
        </is>
      </c>
      <c r="K83" s="21" t="inlineStr">
        <is>
          <t>Preview Netlify</t>
        </is>
      </c>
      <c r="L83" s="21" t="inlineStr">
        <is>
          <t>Samuel KAKEZ</t>
        </is>
      </c>
      <c r="M83" s="48" t="n">
        <v>46216</v>
      </c>
      <c r="N83" s="21" t="inlineStr">
        <is>
          <t>Réussi</t>
        </is>
      </c>
      <c r="O83" s="17" t="inlineStr">
        <is>
          <t>Conforme au résultat attendu.</t>
        </is>
      </c>
      <c r="P83" s="17" t="str"/>
      <c r="Q83" s="17" t="str"/>
      <c r="R83" s="17" t="str"/>
    </row>
    <row r="84" ht="74" customHeight="1">
      <c r="A84" s="20" t="inlineStr">
        <is>
          <t>TC-080</t>
        </is>
      </c>
      <c r="B84" s="17" t="inlineStr">
        <is>
          <t>Maintenance</t>
        </is>
      </c>
      <c r="C84" s="17" t="inlineStr">
        <is>
          <t>Rollback</t>
        </is>
      </c>
      <c r="D84" s="17" t="inlineStr">
        <is>
          <t>Le déploiement précédent peut être restauré puis vérifié.</t>
        </is>
      </c>
      <c r="E84" s="17" t="inlineStr">
        <is>
          <t>Exploitation</t>
        </is>
      </c>
      <c r="F84" s="21" t="inlineStr">
        <is>
          <t>Haute</t>
        </is>
      </c>
      <c r="G84" s="17" t="inlineStr">
        <is>
          <t>Fenêtre de test et déploiement sain connu</t>
        </is>
      </c>
      <c r="H84" s="17" t="inlineStr">
        <is>
          <t>1. Déployer une version sentinelle. 2. Restaurer la précédente. 3. Exécuter le smoke test.</t>
        </is>
      </c>
      <c r="I84" s="17" t="inlineStr">
        <is>
          <t>Aucune migration destructive</t>
        </is>
      </c>
      <c r="J84" s="17" t="inlineStr">
        <is>
          <t>Code restauré, routes et webhook opérationnels.</t>
        </is>
      </c>
      <c r="K84" s="21" t="inlineStr">
        <is>
          <t>Preview Netlify</t>
        </is>
      </c>
      <c r="L84" s="21" t="inlineStr">
        <is>
          <t>Samuel KAKEZ</t>
        </is>
      </c>
      <c r="M84" s="48" t="n">
        <v>46216</v>
      </c>
      <c r="N84" s="21" t="inlineStr">
        <is>
          <t>Réussi</t>
        </is>
      </c>
      <c r="O84" s="17" t="inlineStr">
        <is>
          <t>Conforme au résultat attendu.</t>
        </is>
      </c>
      <c r="P84" s="17" t="str"/>
      <c r="Q84" s="17" t="str"/>
      <c r="R84" s="17" t="str"/>
    </row>
  </sheetData>
  <mergeCells count="2">
    <mergeCell ref="A2:R2"/>
    <mergeCell ref="A1:R1"/>
  </mergeCells>
  <conditionalFormatting sqref="N5:N250">
    <cfRule type="expression" priority="1" dxfId="0">
      <formula>N5="Réussi"</formula>
    </cfRule>
    <cfRule type="expression" priority="2" dxfId="1">
      <formula>N5="Échoué"</formula>
    </cfRule>
    <cfRule type="expression" priority="3" dxfId="2">
      <formula>N5="Bloqué"</formula>
    </cfRule>
    <cfRule type="expression" priority="4" dxfId="3">
      <formula>N5="À exécuter"</formula>
    </cfRule>
  </conditionalFormatting>
  <dataValidations count="5">
    <dataValidation sqref="B5:B250" showDropDown="0" showInputMessage="0" showErrorMessage="0" allowBlank="0" type="list">
      <formula1>Référentiels!$A$2:$A$17</formula1>
    </dataValidation>
    <dataValidation sqref="E5:E250" showDropDown="0" showInputMessage="0" showErrorMessage="0" allowBlank="0" type="list">
      <formula1>Référentiels!$B$2:$B$8</formula1>
    </dataValidation>
    <dataValidation sqref="F5:F250" showDropDown="0" showInputMessage="0" showErrorMessage="0" allowBlank="0" type="list">
      <formula1>Référentiels!$C$2:$C$5</formula1>
    </dataValidation>
    <dataValidation sqref="K5:K250" showDropDown="0" showInputMessage="0" showErrorMessage="0" allowBlank="0" type="list">
      <formula1>Référentiels!$D$2:$D$6</formula1>
    </dataValidation>
    <dataValidation sqref="N5:N250" showDropDown="0" showInputMessage="0" showErrorMessage="0" allowBlank="0" type="list">
      <formula1>Référentiels!$E$2:$E$6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28" customHeight="1">
      <c r="A1" s="27" t="inlineStr">
        <is>
          <t>Domaines</t>
        </is>
      </c>
      <c r="B1" s="27" t="inlineStr">
        <is>
          <t>Types</t>
        </is>
      </c>
      <c r="C1" s="27" t="inlineStr">
        <is>
          <t>Priorités</t>
        </is>
      </c>
      <c r="D1" s="27" t="inlineStr">
        <is>
          <t>Environnements</t>
        </is>
      </c>
      <c r="E1" s="27" t="inlineStr">
        <is>
          <t>Statuts</t>
        </is>
      </c>
    </row>
    <row r="2">
      <c r="A2" s="28" t="inlineStr">
        <is>
          <t>Navigation</t>
        </is>
      </c>
      <c r="B2" s="28" t="inlineStr">
        <is>
          <t>Fonctionnel</t>
        </is>
      </c>
      <c r="C2" s="28" t="inlineStr">
        <is>
          <t>Critique</t>
        </is>
      </c>
      <c r="D2" s="28" t="inlineStr">
        <is>
          <t>Local</t>
        </is>
      </c>
      <c r="E2" s="28" t="inlineStr">
        <is>
          <t>À exécuter</t>
        </is>
      </c>
    </row>
    <row r="3">
      <c r="A3" s="28" t="inlineStr">
        <is>
          <t>Accessibilité</t>
        </is>
      </c>
      <c r="B3" s="28" t="inlineStr">
        <is>
          <t>Intégration</t>
        </is>
      </c>
      <c r="C3" s="28" t="inlineStr">
        <is>
          <t>Haute</t>
        </is>
      </c>
      <c r="D3" s="28" t="inlineStr">
        <is>
          <t>Supabase local</t>
        </is>
      </c>
      <c r="E3" s="28" t="inlineStr">
        <is>
          <t>Réussi</t>
        </is>
      </c>
    </row>
    <row r="4">
      <c r="A4" s="28" t="inlineStr">
        <is>
          <t>Responsive</t>
        </is>
      </c>
      <c r="B4" s="28" t="inlineStr">
        <is>
          <t>Sécurité</t>
        </is>
      </c>
      <c r="C4" s="28" t="inlineStr">
        <is>
          <t>Moyenne</t>
        </is>
      </c>
      <c r="D4" s="28" t="inlineStr">
        <is>
          <t>Stripe test</t>
        </is>
      </c>
      <c r="E4" s="28" t="inlineStr">
        <is>
          <t>Échoué</t>
        </is>
      </c>
    </row>
    <row r="5">
      <c r="A5" s="28" t="inlineStr">
        <is>
          <t>Authentification</t>
        </is>
      </c>
      <c r="B5" s="28" t="inlineStr">
        <is>
          <t>Accessibilité</t>
        </is>
      </c>
      <c r="C5" s="28" t="inlineStr">
        <is>
          <t>Basse</t>
        </is>
      </c>
      <c r="D5" s="28" t="inlineStr">
        <is>
          <t>Preview Netlify</t>
        </is>
      </c>
      <c r="E5" s="28" t="inlineStr">
        <is>
          <t>Bloqué</t>
        </is>
      </c>
    </row>
    <row r="6">
      <c r="A6" s="28" t="inlineStr">
        <is>
          <t>Catalogue</t>
        </is>
      </c>
      <c r="B6" s="28" t="inlineStr">
        <is>
          <t>Responsive</t>
        </is>
      </c>
      <c r="C6" s="28" t="n"/>
      <c r="D6" s="28" t="inlineStr">
        <is>
          <t>Production Netlify</t>
        </is>
      </c>
      <c r="E6" s="28" t="inlineStr">
        <is>
          <t>Non applicable</t>
        </is>
      </c>
    </row>
    <row r="7">
      <c r="A7" s="28" t="inlineStr">
        <is>
          <t>Recherche</t>
        </is>
      </c>
      <c r="B7" s="28" t="inlineStr">
        <is>
          <t>Non-régression</t>
        </is>
      </c>
      <c r="C7" s="28" t="n"/>
      <c r="D7" s="28" t="n"/>
      <c r="E7" s="28" t="n"/>
    </row>
    <row r="8">
      <c r="A8" s="28" t="inlineStr">
        <is>
          <t>Panier</t>
        </is>
      </c>
      <c r="B8" s="28" t="inlineStr">
        <is>
          <t>Exploitation</t>
        </is>
      </c>
      <c r="C8" s="28" t="n"/>
      <c r="D8" s="28" t="n"/>
      <c r="E8" s="28" t="n"/>
    </row>
    <row r="9">
      <c r="A9" s="28" t="inlineStr">
        <is>
          <t>Checkout</t>
        </is>
      </c>
      <c r="B9" s="28" t="n"/>
      <c r="C9" s="28" t="n"/>
      <c r="D9" s="28" t="n"/>
      <c r="E9" s="28" t="n"/>
    </row>
    <row r="10">
      <c r="A10" s="28" t="inlineStr">
        <is>
          <t>Stripe</t>
        </is>
      </c>
      <c r="B10" s="28" t="n"/>
      <c r="C10" s="28" t="n"/>
      <c r="D10" s="28" t="n"/>
      <c r="E10" s="28" t="n"/>
    </row>
    <row r="11">
      <c r="A11" s="28" t="inlineStr">
        <is>
          <t>Espace client</t>
        </is>
      </c>
      <c r="B11" s="28" t="n"/>
      <c r="C11" s="28" t="n"/>
      <c r="D11" s="28" t="n"/>
      <c r="E11" s="28" t="n"/>
    </row>
    <row r="12">
      <c r="A12" s="28" t="inlineStr">
        <is>
          <t>Abonnements</t>
        </is>
      </c>
      <c r="B12" s="28" t="n"/>
      <c r="C12" s="28" t="n"/>
      <c r="D12" s="28" t="n"/>
      <c r="E12" s="28" t="n"/>
    </row>
    <row r="13">
      <c r="A13" s="28" t="inlineStr">
        <is>
          <t>Support</t>
        </is>
      </c>
      <c r="B13" s="28" t="n"/>
      <c r="C13" s="28" t="n"/>
      <c r="D13" s="28" t="n"/>
      <c r="E13" s="28" t="n"/>
    </row>
    <row r="14">
      <c r="A14" s="28" t="inlineStr">
        <is>
          <t>CynAI</t>
        </is>
      </c>
      <c r="B14" s="28" t="n"/>
      <c r="C14" s="28" t="n"/>
      <c r="D14" s="28" t="n"/>
      <c r="E14" s="28" t="n"/>
    </row>
    <row r="15">
      <c r="A15" s="28" t="inlineStr">
        <is>
          <t>BackOffice</t>
        </is>
      </c>
      <c r="B15" s="28" t="n"/>
      <c r="C15" s="28" t="n"/>
      <c r="D15" s="28" t="n"/>
      <c r="E15" s="28" t="n"/>
    </row>
    <row r="16">
      <c r="A16" s="28" t="inlineStr">
        <is>
          <t>Sales</t>
        </is>
      </c>
      <c r="B16" s="28" t="n"/>
      <c r="C16" s="28" t="n"/>
      <c r="D16" s="28" t="n"/>
      <c r="E16" s="28" t="n"/>
    </row>
    <row r="17">
      <c r="A17" s="28" t="inlineStr">
        <is>
          <t>PDF</t>
        </is>
      </c>
      <c r="B17" s="28" t="n"/>
      <c r="C17" s="28" t="n"/>
      <c r="D17" s="28" t="n"/>
      <c r="E17" s="28" t="n"/>
    </row>
    <row r="18">
      <c r="A18" s="28" t="inlineStr">
        <is>
          <t>CI/CD</t>
        </is>
      </c>
      <c r="B18" s="28" t="n"/>
      <c r="C18" s="28" t="n"/>
      <c r="D18" s="28" t="n"/>
      <c r="E18" s="28" t="n"/>
    </row>
    <row r="19">
      <c r="A19" s="28" t="inlineStr">
        <is>
          <t>Netlify</t>
        </is>
      </c>
      <c r="B19" s="28" t="n"/>
      <c r="C19" s="28" t="n"/>
      <c r="D19" s="28" t="n"/>
      <c r="E19" s="28" t="n"/>
    </row>
    <row r="20">
      <c r="A20" s="28" t="inlineStr">
        <is>
          <t>Sentry</t>
        </is>
      </c>
      <c r="B20" s="28" t="n"/>
      <c r="C20" s="28" t="n"/>
      <c r="D20" s="28" t="n"/>
      <c r="E20" s="28" t="n"/>
    </row>
    <row r="21">
      <c r="A21" s="28" t="inlineStr">
        <is>
          <t>Maintenance</t>
        </is>
      </c>
      <c r="B21" s="28" t="n"/>
      <c r="C21" s="28" t="n"/>
      <c r="D21" s="28" t="n"/>
      <c r="E21" s="28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2" customWidth="1" min="2" max="2"/>
    <col width="22" customWidth="1" min="4" max="4"/>
    <col width="34" customWidth="1" min="5" max="5"/>
    <col width="34" customWidth="1" min="6" max="6"/>
  </cols>
  <sheetData>
    <row r="1">
      <c r="A1" s="3" t="inlineStr">
        <is>
          <t>MODE D'EMPLOI DU PLAN DE TESTS</t>
        </is>
      </c>
    </row>
    <row r="3">
      <c r="A3" s="29" t="inlineStr">
        <is>
          <t>Champ</t>
        </is>
      </c>
      <c r="B3" s="29" t="inlineStr">
        <is>
          <t>Consigne</t>
        </is>
      </c>
      <c r="D3" s="29" t="inlineStr">
        <is>
          <t>Rôle</t>
        </is>
      </c>
      <c r="E3" s="29" t="inlineStr">
        <is>
          <t>Responsabilité</t>
        </is>
      </c>
      <c r="F3" s="29" t="inlineStr">
        <is>
          <t>Validation</t>
        </is>
      </c>
    </row>
    <row r="4" ht="54" customHeight="1">
      <c r="A4" s="32" t="inlineStr">
        <is>
          <t>Portée</t>
        </is>
      </c>
      <c r="B4" s="30" t="inlineStr">
        <is>
          <t>Dupliquer ou ajouter une ligne pour chaque variante utile. Ne jamais remplacer un cas existant par un résultat sans conserver l'exigence.</t>
        </is>
      </c>
      <c r="D4" s="30" t="inlineStr">
        <is>
          <t>Recetteur</t>
        </is>
      </c>
      <c r="E4" s="30" t="inlineStr">
        <is>
          <t>Exécuter et documenter les cas</t>
        </is>
      </c>
      <c r="F4" s="30" t="inlineStr">
        <is>
          <t>Résultat observable et preuve</t>
        </is>
      </c>
    </row>
    <row r="5" ht="54" customHeight="1">
      <c r="A5" s="32" t="inlineStr">
        <is>
          <t>Préparation</t>
        </is>
      </c>
      <c r="B5" s="30" t="inlineStr">
        <is>
          <t>Utiliser des comptes, produits et paiements de test. Ne jamais inscrire de secret, mot de passe, code MFA ou numéro de carte réel dans le classeur.</t>
        </is>
      </c>
      <c r="D5" s="30" t="inlineStr">
        <is>
          <t>Développeur</t>
        </is>
      </c>
      <c r="E5" s="30" t="inlineStr">
        <is>
          <t>Analyser et corriger les anomalies</t>
        </is>
      </c>
      <c r="F5" s="30" t="inlineStr">
        <is>
          <t>Tests automatisés et non-régression</t>
        </is>
      </c>
    </row>
    <row r="6" ht="54" customHeight="1">
      <c r="A6" s="32" t="inlineStr">
        <is>
          <t>Exécution</t>
        </is>
      </c>
      <c r="B6" s="30" t="inlineStr">
        <is>
          <t>Renseigner Exécuteur, Date, Statut et Résultat obtenu. Noter les valeurs observées, pas seulement conforme ou non conforme.</t>
        </is>
      </c>
      <c r="D6" s="30" t="inlineStr">
        <is>
          <t>Product Owner</t>
        </is>
      </c>
      <c r="E6" s="30" t="inlineStr">
        <is>
          <t>Accepter le comportement métier</t>
        </is>
      </c>
      <c r="F6" s="30" t="inlineStr">
        <is>
          <t>Critères d'acceptation</t>
        </is>
      </c>
    </row>
    <row r="7" ht="54" customHeight="1">
      <c r="A7" s="32" t="inlineStr">
        <is>
          <t>Anomalie</t>
        </is>
      </c>
      <c r="B7" s="30" t="inlineStr">
        <is>
          <t>Inscrire l'identifiant du ticket GitHub ou du suivi choisi. Une anomalie critique bloque la recette tant qu'elle n'est pas corrigée ou acceptée formellement.</t>
        </is>
      </c>
      <c r="D7" s="30" t="inlineStr">
        <is>
          <t>Responsable release</t>
        </is>
      </c>
      <c r="E7" s="30" t="inlineStr">
        <is>
          <t>Prendre la décision go/no-go</t>
        </is>
      </c>
      <c r="F7" s="30" t="inlineStr">
        <is>
          <t>Synthèse, CI, preview et rollback</t>
        </is>
      </c>
    </row>
    <row r="8" ht="54" customHeight="1">
      <c r="A8" s="32" t="inlineStr">
        <is>
          <t>Preuve</t>
        </is>
      </c>
      <c r="B8" s="30" t="inlineStr">
        <is>
          <t>Ajouter un chemin de capture, un lien de rapport ou un identifiant de log expurgé. Ne pas coller de données personnelles.</t>
        </is>
      </c>
    </row>
    <row r="9" ht="54" customHeight="1">
      <c r="A9" s="32" t="inlineStr">
        <is>
          <t>Rejeu</t>
        </is>
      </c>
      <c r="B9" s="30" t="inlineStr">
        <is>
          <t>Après correction, conserver le résultat précédent dans Commentaires et dater le nouveau passage.</t>
        </is>
      </c>
    </row>
    <row r="10" ht="54" customHeight="1">
      <c r="A10" s="32" t="inlineStr">
        <is>
          <t>Production</t>
        </is>
      </c>
      <c r="B10" s="30" t="inlineStr">
        <is>
          <t>Limiter la production aux smoke tests sûrs. Les tests destructifs, signatures invalides, seeds et paiements de laboratoire restent sur Local ou Preview.</t>
        </is>
      </c>
    </row>
    <row r="11" ht="54" customHeight="1">
      <c r="A11" s="32" t="inlineStr">
        <is>
          <t>Synthèse</t>
        </is>
      </c>
      <c r="B11" s="30" t="inlineStr">
        <is>
          <t>La feuille Synthèse se met à jour à partir des statuts de la feuille Plan de tests.</t>
        </is>
      </c>
    </row>
    <row r="12" ht="54" customHeight="1">
      <c r="A12" s="32" t="inlineStr">
        <is>
          <t>Validation finale</t>
        </is>
      </c>
      <c r="B12" s="30" t="inlineStr">
        <is>
          <t>Exiger zéro échec critique, expliquer les cas bloqués et faire approuver le périmètre par le responsable de recette.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2026-07-15T20:59:53Z</dcterms:created>
  <dcterms:modified xmlns:dcterms="http://purl.org/dc/terms/" xmlns:xsi="http://www.w3.org/2001/XMLSchema-instance" xsi:type="dcterms:W3CDTF">2026-07-15T20:59:53Z</dcterms:modified>
</cp:coreProperties>
</file>